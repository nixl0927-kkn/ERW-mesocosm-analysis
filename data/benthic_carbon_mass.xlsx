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<sst xmlns="http://schemas.openxmlformats.org/spreadsheetml/2006/main" count="149" uniqueCount="149">
  <si>
    <t>sample_name</t>
  </si>
  <si>
    <t>mesocosm</t>
  </si>
  <si>
    <t>date</t>
  </si>
  <si>
    <t>mass (mg)</t>
  </si>
  <si>
    <t>mass (g)</t>
  </si>
  <si>
    <t>Sample proportion</t>
  </si>
  <si>
    <t>carbon (%)</t>
  </si>
  <si>
    <t>mass of organic carbon in samples(mg)</t>
  </si>
  <si>
    <t>mass of organic carbon in whole filters(mg)</t>
  </si>
  <si>
    <t>POC_1</t>
  </si>
  <si>
    <t>POC_2</t>
  </si>
  <si>
    <t>POC_3</t>
  </si>
  <si>
    <t>POC_4</t>
  </si>
  <si>
    <t>POC_5</t>
  </si>
  <si>
    <t>POC_6</t>
  </si>
  <si>
    <t>POC_7</t>
  </si>
  <si>
    <t>POC_8</t>
  </si>
  <si>
    <t>POC_9</t>
  </si>
  <si>
    <t>POC_10</t>
  </si>
  <si>
    <t>POC_11</t>
  </si>
  <si>
    <t>POC_12</t>
  </si>
  <si>
    <t>POC_13</t>
  </si>
  <si>
    <t>POC_14</t>
  </si>
  <si>
    <t>POC_15</t>
  </si>
  <si>
    <t>POC_16</t>
  </si>
  <si>
    <t>POC_17</t>
  </si>
  <si>
    <t>POC_18</t>
  </si>
  <si>
    <t>POC_19</t>
  </si>
  <si>
    <t>POC_20</t>
  </si>
  <si>
    <t>POC_21</t>
  </si>
  <si>
    <t>POC_22</t>
  </si>
  <si>
    <t>POC_23</t>
  </si>
  <si>
    <t>POC_24</t>
  </si>
  <si>
    <t>POC_25</t>
  </si>
  <si>
    <t>POC_26</t>
  </si>
  <si>
    <t>POC_27</t>
  </si>
  <si>
    <t>POC_28</t>
  </si>
  <si>
    <t>POC_29</t>
  </si>
  <si>
    <t>POC_30</t>
  </si>
  <si>
    <t>POC_31</t>
  </si>
  <si>
    <t>POC_32</t>
  </si>
  <si>
    <t>POC_33</t>
  </si>
  <si>
    <t>POC_34</t>
  </si>
  <si>
    <t>POC_35</t>
  </si>
  <si>
    <t>POC_36</t>
  </si>
  <si>
    <t>POC_37</t>
  </si>
  <si>
    <t>POC_38</t>
  </si>
  <si>
    <t>POC_39</t>
  </si>
  <si>
    <t>POC_40</t>
  </si>
  <si>
    <t>POC_41</t>
  </si>
  <si>
    <t>POC_42</t>
  </si>
  <si>
    <t>POC_43</t>
  </si>
  <si>
    <t>POC_44</t>
  </si>
  <si>
    <t>POC_45</t>
  </si>
  <si>
    <t>POC_46</t>
  </si>
  <si>
    <t>POC_47</t>
  </si>
  <si>
    <t>POC_48</t>
  </si>
  <si>
    <t>POC_49</t>
  </si>
  <si>
    <t>POC_50</t>
  </si>
  <si>
    <t>POC_51</t>
  </si>
  <si>
    <t>POC_52</t>
  </si>
  <si>
    <t>POC_53</t>
  </si>
  <si>
    <t>POC_54</t>
  </si>
  <si>
    <t>POC_55</t>
  </si>
  <si>
    <t>POC_56</t>
  </si>
  <si>
    <t>POC_57</t>
  </si>
  <si>
    <t>POC_58</t>
  </si>
  <si>
    <t>POC_59</t>
  </si>
  <si>
    <t>POC_60</t>
  </si>
  <si>
    <t>POC_61</t>
  </si>
  <si>
    <t>POC_62</t>
  </si>
  <si>
    <t>POC_63</t>
  </si>
  <si>
    <t>POC_64</t>
  </si>
  <si>
    <t>POC_65</t>
  </si>
  <si>
    <t>POC_66</t>
  </si>
  <si>
    <t>POC_67</t>
  </si>
  <si>
    <t>POC_68</t>
  </si>
  <si>
    <t>POC_69</t>
  </si>
  <si>
    <t>POC_70</t>
  </si>
  <si>
    <t>TC_1</t>
  </si>
  <si>
    <t>TC_2</t>
  </si>
  <si>
    <t>TC_3</t>
  </si>
  <si>
    <t>TC_4</t>
  </si>
  <si>
    <t>TC_5</t>
  </si>
  <si>
    <t>TC_6</t>
  </si>
  <si>
    <t>TC_7</t>
  </si>
  <si>
    <t>TC_8</t>
  </si>
  <si>
    <t>TC_9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</si>
  <si>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</si>
  <si>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</si>
  <si>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</si>
  <si>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</si>
  <si>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</si>
  <si>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</si>
  <si>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</si>
  <si>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</si>
  <si>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</si>
  <si>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</si>
  <si>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</si>
  <si>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TC_21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</si>
  <si>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</si>
  <si>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</si>
  <si>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</si>
  <si>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</si>
  <si>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</si>
  <si>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</si>
  <si>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</si>
  <si>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</si>
  <si>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</si>
  <si>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TC_31</t>
  </si>
  <si>
    <t>TC_32</t>
  </si>
  <si>
    <t>TC_33</t>
  </si>
  <si>
    <t>TC_34</t>
  </si>
  <si>
    <t>TC_35</t>
  </si>
  <si>
    <t>TC_36</t>
  </si>
  <si>
    <t>TC_37</t>
  </si>
  <si>
    <t>TC_38</t>
  </si>
  <si>
    <t>TC_39</t>
  </si>
  <si>
    <t>TC_40</t>
  </si>
  <si>
    <t>TC_41</t>
  </si>
  <si>
    <t>TC_42</t>
  </si>
  <si>
    <t>TC_43</t>
  </si>
  <si>
    <t>TC_44</t>
  </si>
  <si>
    <t>TC_45</t>
  </si>
  <si>
    <t>TC_46</t>
  </si>
  <si>
    <t>TC_47</t>
  </si>
  <si>
    <t>TC_48</t>
  </si>
  <si>
    <t>TC_49</t>
  </si>
  <si>
    <t>TC_50</t>
  </si>
  <si>
    <t>TC_51</t>
  </si>
  <si>
    <t>TC_52</t>
  </si>
  <si>
    <t>TC_53</t>
  </si>
  <si>
    <t>TC_54</t>
  </si>
  <si>
    <t>TC_55</t>
  </si>
  <si>
    <t>TC_56</t>
  </si>
  <si>
    <t>TC_57</t>
  </si>
  <si>
    <t>TC_58</t>
  </si>
  <si>
    <t>TC_59</t>
  </si>
  <si>
    <t>TC_60</t>
  </si>
  <si>
    <t>TC_61</t>
  </si>
  <si>
    <t>TC_62</t>
  </si>
  <si>
    <t>TC_63</t>
  </si>
  <si>
    <t>TC_64</t>
  </si>
  <si>
    <t>TC_65</t>
  </si>
  <si>
    <t>TC_66</t>
  </si>
  <si>
    <t>TC_67</t>
  </si>
  <si>
    <t>TC_68</t>
  </si>
  <si>
    <t>TC_69</t>
  </si>
  <si>
    <t>TC_70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</si>
</sst>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C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14" fontId="0" fillId="0" borderId="0" xfId="0" applyNumberForma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14" fontId="1" fillId="0" borderId="0" xfId="0" applyNumberFormat="1" applyFont="1" applyFill="1" applyAlignment="1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1"/>
  <sheetViews>
    <sheetView tabSelected="1" zoomScale="111" zoomScaleNormal="111" topLeftCell="A49" workbookViewId="0">
      <selection activeCell="L142" sqref="L142"/>
    </sheetView>
  </sheetViews>
  <sheetFormatPr defaultColWidth="9.23076923076923" defaultRowHeight="16.8"/>
  <cols>
    <col min="1" max="1" width="13.9423076923077" customWidth="1"/>
    <col min="2" max="2" width="11.0576923076923" customWidth="1"/>
    <col min="3" max="3" width="12.8269230769231" customWidth="1"/>
    <col min="4" max="4" width="10.7307692307692" customWidth="1"/>
    <col min="5" max="5" width="9.69230769230769"/>
    <col min="6" max="6" width="18.4230769230769" customWidth="1"/>
    <col min="7" max="7" width="11.5384615384615" customWidth="1"/>
    <col min="8" max="8" width="35.0961538461538" customWidth="1"/>
    <col min="9" max="9" width="38.1346153846154" customWidth="1"/>
  </cols>
  <sheetData>
    <row r="1" spans="1:9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2">
        <v>1</v>
      </c>
      <c r="C2" s="3">
        <v>45799</v>
      </c>
      <c r="D2" s="2">
        <f t="shared" ref="D2:D65" si="0">E2*1000</f>
        <v>30.07</v>
      </c>
      <c r="E2" s="1">
        <v>0.03007</v>
      </c>
      <c r="F2" s="1">
        <f t="shared" ref="F2:F65" si="1">D2/133</f>
        <v>0.22609022556391</v>
      </c>
      <c r="G2" s="1">
        <v>0.65</v>
      </c>
      <c r="H2" s="1">
        <f t="shared" ref="H2:H65" si="2">G2%*D2</f>
        <v>0.195455</v>
      </c>
      <c r="I2" s="1">
        <f t="shared" ref="I2:I65" si="3">H2/F2</f>
        <v>0.8645</v>
      </c>
    </row>
    <row r="3" spans="1:9">
      <c r="A3" s="1" t="s">
        <v>10</v>
      </c>
      <c r="B3" s="2">
        <v>2</v>
      </c>
      <c r="C3" s="3">
        <v>45799</v>
      </c>
      <c r="D3" s="2">
        <f t="shared" si="0"/>
        <v>31.726</v>
      </c>
      <c r="E3" s="1">
        <v>0.031726</v>
      </c>
      <c r="F3" s="1">
        <f t="shared" si="1"/>
        <v>0.238541353383459</v>
      </c>
      <c r="G3" s="1">
        <v>0.57</v>
      </c>
      <c r="H3" s="1">
        <f t="shared" si="2"/>
        <v>0.1808382</v>
      </c>
      <c r="I3" s="1">
        <f t="shared" si="3"/>
        <v>0.7581</v>
      </c>
    </row>
    <row r="4" spans="1:9">
      <c r="A4" s="1" t="s">
        <v>11</v>
      </c>
      <c r="B4" s="2">
        <v>3</v>
      </c>
      <c r="C4" s="3">
        <v>45799</v>
      </c>
      <c r="D4" s="2">
        <f t="shared" si="0"/>
        <v>32.185</v>
      </c>
      <c r="E4" s="1">
        <v>0.032185</v>
      </c>
      <c r="F4" s="1">
        <f t="shared" si="1"/>
        <v>0.241992481203007</v>
      </c>
      <c r="G4" s="1">
        <v>1.06</v>
      </c>
      <c r="H4" s="1">
        <f t="shared" si="2"/>
        <v>0.341161</v>
      </c>
      <c r="I4" s="1">
        <f t="shared" si="3"/>
        <v>1.4098</v>
      </c>
    </row>
    <row r="5" spans="1:9">
      <c r="A5" s="1" t="s">
        <v>12</v>
      </c>
      <c r="B5" s="2">
        <v>4</v>
      </c>
      <c r="C5" s="3">
        <v>45799</v>
      </c>
      <c r="D5" s="2">
        <f t="shared" si="0"/>
        <v>33.455</v>
      </c>
      <c r="E5" s="1">
        <v>0.033455</v>
      </c>
      <c r="F5" s="1">
        <f t="shared" si="1"/>
        <v>0.251541353383459</v>
      </c>
      <c r="G5" s="1">
        <v>1.03</v>
      </c>
      <c r="H5" s="1">
        <f t="shared" si="2"/>
        <v>0.3445865</v>
      </c>
      <c r="I5" s="1">
        <f t="shared" si="3"/>
        <v>1.3699</v>
      </c>
    </row>
    <row r="6" spans="1:9">
      <c r="A6" s="1" t="s">
        <v>13</v>
      </c>
      <c r="B6" s="2">
        <v>5</v>
      </c>
      <c r="C6" s="3">
        <v>45799</v>
      </c>
      <c r="D6" s="2">
        <f t="shared" si="0"/>
        <v>30.616</v>
      </c>
      <c r="E6" s="1">
        <v>0.030616</v>
      </c>
      <c r="F6" s="1">
        <f t="shared" si="1"/>
        <v>0.230195488721805</v>
      </c>
      <c r="G6" s="1">
        <v>0.68</v>
      </c>
      <c r="H6" s="1">
        <f t="shared" si="2"/>
        <v>0.2081888</v>
      </c>
      <c r="I6" s="1">
        <f t="shared" si="3"/>
        <v>0.9044</v>
      </c>
    </row>
    <row r="7" spans="1:9">
      <c r="A7" s="1" t="s">
        <v>14</v>
      </c>
      <c r="B7" s="2">
        <v>6</v>
      </c>
      <c r="C7" s="3">
        <v>45799</v>
      </c>
      <c r="D7" s="2">
        <f t="shared" si="0"/>
        <v>34.882</v>
      </c>
      <c r="E7" s="1">
        <v>0.034882</v>
      </c>
      <c r="F7" s="1">
        <f t="shared" si="1"/>
        <v>0.262270676691729</v>
      </c>
      <c r="G7" s="1">
        <v>1.04</v>
      </c>
      <c r="H7" s="1">
        <f t="shared" si="2"/>
        <v>0.3627728</v>
      </c>
      <c r="I7" s="1">
        <f t="shared" si="3"/>
        <v>1.3832</v>
      </c>
    </row>
    <row r="8" spans="1:9">
      <c r="A8" s="1" t="s">
        <v>15</v>
      </c>
      <c r="B8" s="2">
        <v>7</v>
      </c>
      <c r="C8" s="3">
        <v>45799</v>
      </c>
      <c r="D8" s="2">
        <f t="shared" si="0"/>
        <v>31.199</v>
      </c>
      <c r="E8" s="1">
        <v>0.031199</v>
      </c>
      <c r="F8" s="1">
        <f t="shared" si="1"/>
        <v>0.234578947368421</v>
      </c>
      <c r="G8" s="1">
        <v>0.69</v>
      </c>
      <c r="H8" s="1">
        <f t="shared" si="2"/>
        <v>0.2152731</v>
      </c>
      <c r="I8" s="1">
        <f t="shared" si="3"/>
        <v>0.9177</v>
      </c>
    </row>
    <row r="9" spans="1:9">
      <c r="A9" s="1" t="s">
        <v>16</v>
      </c>
      <c r="B9" s="2">
        <v>8</v>
      </c>
      <c r="C9" s="3">
        <v>45799</v>
      </c>
      <c r="D9" s="2">
        <f t="shared" si="0"/>
        <v>31.716</v>
      </c>
      <c r="E9" s="1">
        <v>0.031716</v>
      </c>
      <c r="F9" s="1">
        <f t="shared" si="1"/>
        <v>0.238466165413534</v>
      </c>
      <c r="G9" s="1">
        <v>0.81</v>
      </c>
      <c r="H9" s="1">
        <f t="shared" si="2"/>
        <v>0.2568996</v>
      </c>
      <c r="I9" s="1">
        <f t="shared" si="3"/>
        <v>1.0773</v>
      </c>
    </row>
    <row r="10" spans="1:9">
      <c r="A10" s="1" t="s">
        <v>17</v>
      </c>
      <c r="B10" s="2">
        <v>9</v>
      </c>
      <c r="C10" s="3">
        <v>45799</v>
      </c>
      <c r="D10" s="2">
        <f t="shared" si="0"/>
        <v>34.003</v>
      </c>
      <c r="E10" s="1">
        <v>0.034003</v>
      </c>
      <c r="F10" s="1">
        <f t="shared" si="1"/>
        <v>0.255661654135338</v>
      </c>
      <c r="G10" s="1">
        <v>0.61</v>
      </c>
      <c r="H10" s="1">
        <f t="shared" si="2"/>
        <v>0.2074183</v>
      </c>
      <c r="I10" s="1">
        <f t="shared" si="3"/>
        <v>0.8113</v>
      </c>
    </row>
    <row r="11" spans="1:9">
      <c r="A11" s="1" t="s">
        <v>18</v>
      </c>
      <c r="B11" s="2">
        <v>10</v>
      </c>
      <c r="C11" s="3">
        <v>45799</v>
      </c>
      <c r="D11" s="2">
        <f t="shared" si="0"/>
        <v>33.538</v>
      </c>
      <c r="E11" s="1">
        <v>0.033538</v>
      </c>
      <c r="F11" s="1">
        <f t="shared" si="1"/>
        <v>0.252165413533835</v>
      </c>
      <c r="G11" s="1">
        <v>0.7</v>
      </c>
      <c r="H11" s="1">
        <f t="shared" si="2"/>
        <v>0.234766</v>
      </c>
      <c r="I11" s="1">
        <f t="shared" si="3"/>
        <v>0.931</v>
      </c>
    </row>
    <row r="12" spans="1:9">
      <c r="A12" s="1" t="s">
        <v>19</v>
      </c>
      <c r="B12" s="2">
        <v>11</v>
      </c>
      <c r="C12" s="3">
        <v>45799</v>
      </c>
      <c r="D12" s="2">
        <f t="shared" si="0"/>
        <v>30.143</v>
      </c>
      <c r="E12" s="1">
        <v>0.030143</v>
      </c>
      <c r="F12" s="1">
        <f t="shared" si="1"/>
        <v>0.226639097744361</v>
      </c>
      <c r="G12" s="1">
        <v>0.48</v>
      </c>
      <c r="H12" s="1">
        <f t="shared" si="2"/>
        <v>0.1446864</v>
      </c>
      <c r="I12" s="1">
        <f t="shared" si="3"/>
        <v>0.6384</v>
      </c>
    </row>
    <row r="13" spans="1:9">
      <c r="A13" s="1" t="s">
        <v>20</v>
      </c>
      <c r="B13" s="2">
        <v>12</v>
      </c>
      <c r="C13" s="3">
        <v>45799</v>
      </c>
      <c r="D13" s="2">
        <f t="shared" si="0"/>
        <v>33.76</v>
      </c>
      <c r="E13" s="1">
        <v>0.03376</v>
      </c>
      <c r="F13" s="1">
        <f t="shared" si="1"/>
        <v>0.253834586466165</v>
      </c>
      <c r="G13" s="1">
        <v>0.88</v>
      </c>
      <c r="H13" s="1">
        <f t="shared" si="2"/>
        <v>0.297088</v>
      </c>
      <c r="I13" s="1">
        <f t="shared" si="3"/>
        <v>1.1704</v>
      </c>
    </row>
    <row r="14" spans="1:9">
      <c r="A14" s="1" t="s">
        <v>21</v>
      </c>
      <c r="B14" s="2">
        <v>13</v>
      </c>
      <c r="C14" s="3">
        <v>45799</v>
      </c>
      <c r="D14" s="2">
        <f t="shared" si="0"/>
        <v>30.442</v>
      </c>
      <c r="E14" s="1">
        <v>0.030442</v>
      </c>
      <c r="F14" s="1">
        <f t="shared" si="1"/>
        <v>0.228887218045113</v>
      </c>
      <c r="G14" s="1">
        <v>0.47</v>
      </c>
      <c r="H14" s="1">
        <f t="shared" si="2"/>
        <v>0.1430774</v>
      </c>
      <c r="I14" s="1">
        <f t="shared" si="3"/>
        <v>0.6251</v>
      </c>
    </row>
    <row r="15" spans="1:9">
      <c r="A15" s="1" t="s">
        <v>22</v>
      </c>
      <c r="B15" s="2">
        <v>14</v>
      </c>
      <c r="C15" s="3">
        <v>45799</v>
      </c>
      <c r="D15" s="2">
        <f t="shared" si="0"/>
        <v>33.455</v>
      </c>
      <c r="E15" s="1">
        <v>0.033455</v>
      </c>
      <c r="F15" s="1">
        <f t="shared" si="1"/>
        <v>0.251541353383459</v>
      </c>
      <c r="G15" s="1">
        <v>1.21</v>
      </c>
      <c r="H15" s="1">
        <f t="shared" si="2"/>
        <v>0.4048055</v>
      </c>
      <c r="I15" s="1">
        <f t="shared" si="3"/>
        <v>1.6093</v>
      </c>
    </row>
    <row r="16" spans="1:9">
      <c r="A16" s="1" t="s">
        <v>23</v>
      </c>
      <c r="B16" s="2">
        <v>15</v>
      </c>
      <c r="C16" s="3">
        <v>45799</v>
      </c>
      <c r="D16" s="2">
        <f t="shared" si="0"/>
        <v>32.445</v>
      </c>
      <c r="E16" s="1">
        <v>0.032445</v>
      </c>
      <c r="F16" s="1">
        <f t="shared" si="1"/>
        <v>0.243947368421053</v>
      </c>
      <c r="G16" s="1">
        <v>0.61</v>
      </c>
      <c r="H16" s="1">
        <f t="shared" si="2"/>
        <v>0.1979145</v>
      </c>
      <c r="I16" s="1">
        <f t="shared" si="3"/>
        <v>0.8113</v>
      </c>
    </row>
    <row r="17" spans="1:9">
      <c r="A17" s="1" t="s">
        <v>24</v>
      </c>
      <c r="B17" s="2">
        <v>16</v>
      </c>
      <c r="C17" s="3">
        <v>45799</v>
      </c>
      <c r="D17" s="2">
        <f t="shared" si="0"/>
        <v>32.764</v>
      </c>
      <c r="E17" s="1">
        <v>0.032764</v>
      </c>
      <c r="F17" s="1">
        <f t="shared" si="1"/>
        <v>0.246345864661654</v>
      </c>
      <c r="G17" s="1">
        <v>0.36</v>
      </c>
      <c r="H17" s="1">
        <f t="shared" si="2"/>
        <v>0.1179504</v>
      </c>
      <c r="I17" s="1">
        <f t="shared" si="3"/>
        <v>0.4788</v>
      </c>
    </row>
    <row r="18" spans="1:9">
      <c r="A18" s="1" t="s">
        <v>25</v>
      </c>
      <c r="B18" s="2">
        <v>17</v>
      </c>
      <c r="C18" s="3">
        <v>45799</v>
      </c>
      <c r="D18" s="2">
        <f t="shared" si="0"/>
        <v>33.429</v>
      </c>
      <c r="E18" s="1">
        <v>0.033429</v>
      </c>
      <c r="F18" s="1">
        <f t="shared" si="1"/>
        <v>0.251345864661654</v>
      </c>
      <c r="G18" s="1">
        <v>0.5</v>
      </c>
      <c r="H18" s="1">
        <f t="shared" si="2"/>
        <v>0.167145</v>
      </c>
      <c r="I18" s="1">
        <f t="shared" si="3"/>
        <v>0.665</v>
      </c>
    </row>
    <row r="19" spans="1:9">
      <c r="A19" s="1" t="s">
        <v>26</v>
      </c>
      <c r="B19" s="2">
        <v>18</v>
      </c>
      <c r="C19" s="3">
        <v>45799</v>
      </c>
      <c r="D19" s="2">
        <f t="shared" si="0"/>
        <v>27.343</v>
      </c>
      <c r="E19" s="1">
        <v>0.027343</v>
      </c>
      <c r="F19" s="1">
        <f t="shared" si="1"/>
        <v>0.205586466165414</v>
      </c>
      <c r="G19" s="1">
        <v>0.65</v>
      </c>
      <c r="H19" s="1">
        <f t="shared" si="2"/>
        <v>0.1777295</v>
      </c>
      <c r="I19" s="1">
        <f t="shared" si="3"/>
        <v>0.8645</v>
      </c>
    </row>
    <row r="20" spans="1:9">
      <c r="A20" s="1" t="s">
        <v>27</v>
      </c>
      <c r="B20" s="2">
        <v>19</v>
      </c>
      <c r="C20" s="3">
        <v>45799</v>
      </c>
      <c r="D20" s="2">
        <f t="shared" si="0"/>
        <v>32.128</v>
      </c>
      <c r="E20" s="1">
        <v>0.032128</v>
      </c>
      <c r="F20" s="1">
        <f t="shared" si="1"/>
        <v>0.241563909774436</v>
      </c>
      <c r="G20" s="1">
        <v>1.17</v>
      </c>
      <c r="H20" s="1">
        <f t="shared" si="2"/>
        <v>0.3758976</v>
      </c>
      <c r="I20" s="1">
        <f t="shared" si="3"/>
        <v>1.5561</v>
      </c>
    </row>
    <row r="21" spans="1:9">
      <c r="A21" s="1" t="s">
        <v>28</v>
      </c>
      <c r="B21" s="2">
        <v>20</v>
      </c>
      <c r="C21" s="3">
        <v>45799</v>
      </c>
      <c r="D21" s="2">
        <f t="shared" si="0"/>
        <v>35.342</v>
      </c>
      <c r="E21" s="1">
        <v>0.035342</v>
      </c>
      <c r="F21" s="1">
        <f t="shared" si="1"/>
        <v>0.265729323308271</v>
      </c>
      <c r="G21" s="1">
        <v>0.94</v>
      </c>
      <c r="H21" s="1">
        <f t="shared" si="2"/>
        <v>0.3322148</v>
      </c>
      <c r="I21" s="1">
        <f t="shared" si="3"/>
        <v>1.2502</v>
      </c>
    </row>
    <row r="22" spans="1:9">
      <c r="A22" s="1" t="s">
        <v>29</v>
      </c>
      <c r="B22" s="2">
        <v>21</v>
      </c>
      <c r="C22" s="3">
        <v>45799</v>
      </c>
      <c r="D22" s="2">
        <f t="shared" si="0"/>
        <v>34.66</v>
      </c>
      <c r="E22" s="1">
        <v>0.03466</v>
      </c>
      <c r="F22" s="1">
        <f t="shared" si="1"/>
        <v>0.260601503759399</v>
      </c>
      <c r="G22" s="1">
        <v>1.13</v>
      </c>
      <c r="H22" s="1">
        <f t="shared" si="2"/>
        <v>0.391658</v>
      </c>
      <c r="I22" s="1">
        <f t="shared" si="3"/>
        <v>1.5029</v>
      </c>
    </row>
    <row r="23" spans="1:9">
      <c r="A23" s="1" t="s">
        <v>30</v>
      </c>
      <c r="B23" s="2">
        <v>22</v>
      </c>
      <c r="C23" s="3">
        <v>45799</v>
      </c>
      <c r="D23" s="2">
        <f t="shared" si="0"/>
        <v>32.661</v>
      </c>
      <c r="E23" s="1">
        <v>0.032661</v>
      </c>
      <c r="F23" s="1">
        <f t="shared" si="1"/>
        <v>0.245571428571429</v>
      </c>
      <c r="G23" s="1">
        <v>0.8</v>
      </c>
      <c r="H23" s="1">
        <f t="shared" si="2"/>
        <v>0.261288</v>
      </c>
      <c r="I23" s="1">
        <f t="shared" si="3"/>
        <v>1.064</v>
      </c>
    </row>
    <row r="24" spans="1:9">
      <c r="A24" s="1" t="s">
        <v>31</v>
      </c>
      <c r="B24" s="2">
        <v>23</v>
      </c>
      <c r="C24" s="3">
        <v>45799</v>
      </c>
      <c r="D24" s="2">
        <f t="shared" si="0"/>
        <v>31.686</v>
      </c>
      <c r="E24" s="1">
        <v>0.031686</v>
      </c>
      <c r="F24" s="1">
        <f t="shared" si="1"/>
        <v>0.238240601503759</v>
      </c>
      <c r="G24" s="1">
        <v>0.46</v>
      </c>
      <c r="H24" s="1">
        <f t="shared" si="2"/>
        <v>0.1457556</v>
      </c>
      <c r="I24" s="1">
        <f t="shared" si="3"/>
        <v>0.6118</v>
      </c>
    </row>
    <row r="25" spans="1:9">
      <c r="A25" s="1" t="s">
        <v>32</v>
      </c>
      <c r="B25" s="2">
        <v>24</v>
      </c>
      <c r="C25" s="3">
        <v>45799</v>
      </c>
      <c r="D25" s="2">
        <f t="shared" si="0"/>
        <v>31.056</v>
      </c>
      <c r="E25" s="1">
        <v>0.031056</v>
      </c>
      <c r="F25" s="1">
        <f t="shared" si="1"/>
        <v>0.233503759398496</v>
      </c>
      <c r="G25" s="1">
        <v>1.21</v>
      </c>
      <c r="H25" s="1">
        <f t="shared" si="2"/>
        <v>0.3757776</v>
      </c>
      <c r="I25" s="1">
        <f t="shared" si="3"/>
        <v>1.6093</v>
      </c>
    </row>
    <row r="26" spans="1:9">
      <c r="A26" s="1" t="s">
        <v>33</v>
      </c>
      <c r="B26" s="2">
        <v>25</v>
      </c>
      <c r="C26" s="3">
        <v>45799</v>
      </c>
      <c r="D26" s="2">
        <f t="shared" si="0"/>
        <v>33.704</v>
      </c>
      <c r="E26" s="1">
        <v>0.033704</v>
      </c>
      <c r="F26" s="1">
        <f t="shared" si="1"/>
        <v>0.253413533834586</v>
      </c>
      <c r="G26" s="1">
        <v>0.83</v>
      </c>
      <c r="H26" s="1">
        <f t="shared" si="2"/>
        <v>0.2797432</v>
      </c>
      <c r="I26" s="1">
        <f t="shared" si="3"/>
        <v>1.1039</v>
      </c>
    </row>
    <row r="27" spans="1:9">
      <c r="A27" s="1" t="s">
        <v>34</v>
      </c>
      <c r="B27" s="2">
        <v>26</v>
      </c>
      <c r="C27" s="3">
        <v>45799</v>
      </c>
      <c r="D27" s="2">
        <f t="shared" si="0"/>
        <v>31.58</v>
      </c>
      <c r="E27" s="1">
        <v>0.03158</v>
      </c>
      <c r="F27" s="1">
        <f t="shared" si="1"/>
        <v>0.237443609022556</v>
      </c>
      <c r="G27" s="1">
        <v>0.97</v>
      </c>
      <c r="H27" s="1">
        <f t="shared" si="2"/>
        <v>0.306326</v>
      </c>
      <c r="I27" s="1">
        <f t="shared" si="3"/>
        <v>1.2901</v>
      </c>
    </row>
    <row r="28" spans="1:9">
      <c r="A28" s="1" t="s">
        <v>35</v>
      </c>
      <c r="B28" s="2">
        <v>27</v>
      </c>
      <c r="C28" s="3">
        <v>45799</v>
      </c>
      <c r="D28" s="2">
        <f t="shared" si="0"/>
        <v>31.125</v>
      </c>
      <c r="E28" s="1">
        <v>0.031125</v>
      </c>
      <c r="F28" s="1">
        <f t="shared" si="1"/>
        <v>0.234022556390977</v>
      </c>
      <c r="G28" s="1">
        <v>0.77</v>
      </c>
      <c r="H28" s="1">
        <f t="shared" si="2"/>
        <v>0.2396625</v>
      </c>
      <c r="I28" s="1">
        <f t="shared" si="3"/>
        <v>1.0241</v>
      </c>
    </row>
    <row r="29" spans="1:9">
      <c r="A29" s="1" t="s">
        <v>36</v>
      </c>
      <c r="B29" s="2">
        <v>28</v>
      </c>
      <c r="C29" s="3">
        <v>45799</v>
      </c>
      <c r="D29" s="2">
        <f t="shared" si="0"/>
        <v>31.159</v>
      </c>
      <c r="E29" s="1">
        <v>0.031159</v>
      </c>
      <c r="F29" s="1">
        <f t="shared" si="1"/>
        <v>0.234278195488722</v>
      </c>
      <c r="G29" s="1">
        <v>1.06</v>
      </c>
      <c r="H29" s="1">
        <f t="shared" si="2"/>
        <v>0.3302854</v>
      </c>
      <c r="I29" s="1">
        <f t="shared" si="3"/>
        <v>1.4098</v>
      </c>
    </row>
    <row r="30" spans="1:9">
      <c r="A30" s="1" t="s">
        <v>37</v>
      </c>
      <c r="B30" s="2">
        <v>29</v>
      </c>
      <c r="C30" s="3">
        <v>45799</v>
      </c>
      <c r="D30" s="2">
        <f t="shared" si="0"/>
        <v>35.221</v>
      </c>
      <c r="E30" s="1">
        <v>0.035221</v>
      </c>
      <c r="F30" s="1">
        <f t="shared" si="1"/>
        <v>0.26481954887218</v>
      </c>
      <c r="G30" s="1">
        <v>0.31</v>
      </c>
      <c r="H30" s="1">
        <f t="shared" si="2"/>
        <v>0.1091851</v>
      </c>
      <c r="I30" s="1">
        <f t="shared" si="3"/>
        <v>0.4123</v>
      </c>
    </row>
    <row r="31" spans="1:9">
      <c r="A31" s="1" t="s">
        <v>38</v>
      </c>
      <c r="B31" s="2">
        <v>30</v>
      </c>
      <c r="C31" s="3">
        <v>45799</v>
      </c>
      <c r="D31" s="2">
        <f t="shared" si="0"/>
        <v>31.637</v>
      </c>
      <c r="E31" s="1">
        <v>0.031637</v>
      </c>
      <c r="F31" s="1">
        <f t="shared" si="1"/>
        <v>0.237872180451128</v>
      </c>
      <c r="G31" s="1">
        <v>0.59</v>
      </c>
      <c r="H31" s="1">
        <f t="shared" si="2"/>
        <v>0.1866583</v>
      </c>
      <c r="I31" s="1">
        <f t="shared" si="3"/>
        <v>0.7847</v>
      </c>
    </row>
    <row r="32" spans="1:9">
      <c r="A32" s="1" t="s">
        <v>39</v>
      </c>
      <c r="B32" s="2">
        <v>31</v>
      </c>
      <c r="C32" s="3">
        <v>45799</v>
      </c>
      <c r="D32" s="2">
        <f t="shared" si="0"/>
        <v>30.537</v>
      </c>
      <c r="E32" s="1">
        <v>0.030537</v>
      </c>
      <c r="F32" s="1">
        <f t="shared" si="1"/>
        <v>0.229601503759399</v>
      </c>
      <c r="G32" s="1">
        <v>0.68</v>
      </c>
      <c r="H32" s="1">
        <f t="shared" si="2"/>
        <v>0.2076516</v>
      </c>
      <c r="I32" s="1">
        <f t="shared" si="3"/>
        <v>0.9044</v>
      </c>
    </row>
    <row r="33" spans="1:9">
      <c r="A33" s="1" t="s">
        <v>40</v>
      </c>
      <c r="B33" s="2">
        <v>32</v>
      </c>
      <c r="C33" s="3">
        <v>45799</v>
      </c>
      <c r="D33" s="2">
        <f t="shared" si="0"/>
        <v>33.309</v>
      </c>
      <c r="E33" s="1">
        <v>0.033309</v>
      </c>
      <c r="F33" s="1">
        <f t="shared" si="1"/>
        <v>0.250443609022556</v>
      </c>
      <c r="G33" s="1">
        <v>0.87</v>
      </c>
      <c r="H33" s="1">
        <f t="shared" si="2"/>
        <v>0.2897883</v>
      </c>
      <c r="I33" s="1">
        <f t="shared" si="3"/>
        <v>1.1571</v>
      </c>
    </row>
    <row r="34" spans="1:9">
      <c r="A34" s="1" t="s">
        <v>41</v>
      </c>
      <c r="B34" s="2">
        <v>33</v>
      </c>
      <c r="C34" s="3">
        <v>45799</v>
      </c>
      <c r="D34" s="2">
        <f t="shared" si="0"/>
        <v>31.502</v>
      </c>
      <c r="E34" s="1">
        <v>0.031502</v>
      </c>
      <c r="F34" s="1">
        <f t="shared" si="1"/>
        <v>0.236857142857143</v>
      </c>
      <c r="G34" s="1">
        <v>0.42</v>
      </c>
      <c r="H34" s="1">
        <f t="shared" si="2"/>
        <v>0.1323084</v>
      </c>
      <c r="I34" s="1">
        <f t="shared" si="3"/>
        <v>0.5586</v>
      </c>
    </row>
    <row r="35" spans="1:9">
      <c r="A35" s="1" t="s">
        <v>42</v>
      </c>
      <c r="B35" s="2">
        <v>34</v>
      </c>
      <c r="C35" s="3">
        <v>45799</v>
      </c>
      <c r="D35" s="2">
        <f t="shared" si="0"/>
        <v>27.726</v>
      </c>
      <c r="E35" s="1">
        <v>0.027726</v>
      </c>
      <c r="F35" s="1">
        <f t="shared" si="1"/>
        <v>0.208466165413534</v>
      </c>
      <c r="G35" s="1">
        <v>0.67</v>
      </c>
      <c r="H35" s="1">
        <f t="shared" si="2"/>
        <v>0.1857642</v>
      </c>
      <c r="I35" s="1">
        <f t="shared" si="3"/>
        <v>0.8911</v>
      </c>
    </row>
    <row r="36" spans="1:9">
      <c r="A36" s="1" t="s">
        <v>43</v>
      </c>
      <c r="B36" s="2">
        <v>35</v>
      </c>
      <c r="C36" s="3">
        <v>45799</v>
      </c>
      <c r="D36" s="2">
        <f t="shared" si="0"/>
        <v>29.768</v>
      </c>
      <c r="E36" s="1">
        <v>0.029768</v>
      </c>
      <c r="F36" s="1">
        <f t="shared" si="1"/>
        <v>0.22381954887218</v>
      </c>
      <c r="G36" s="1">
        <v>0.53</v>
      </c>
      <c r="H36" s="1">
        <f t="shared" si="2"/>
        <v>0.1577704</v>
      </c>
      <c r="I36" s="1">
        <f t="shared" si="3"/>
        <v>0.7049</v>
      </c>
    </row>
    <row r="37" spans="1:9">
      <c r="A37" s="1" t="s">
        <v>44</v>
      </c>
      <c r="B37" s="2">
        <v>36</v>
      </c>
      <c r="C37" s="3">
        <v>45799</v>
      </c>
      <c r="D37" s="2">
        <f t="shared" si="0"/>
        <v>33.568</v>
      </c>
      <c r="E37" s="1">
        <v>0.033568</v>
      </c>
      <c r="F37" s="1">
        <f t="shared" si="1"/>
        <v>0.252390977443609</v>
      </c>
      <c r="G37" s="1">
        <v>0.54</v>
      </c>
      <c r="H37" s="1">
        <f t="shared" si="2"/>
        <v>0.1812672</v>
      </c>
      <c r="I37" s="1">
        <f t="shared" si="3"/>
        <v>0.7182</v>
      </c>
    </row>
    <row r="38" spans="1:9">
      <c r="A38" s="1" t="s">
        <v>45</v>
      </c>
      <c r="B38" s="2">
        <v>1</v>
      </c>
      <c r="C38" s="3">
        <v>45818</v>
      </c>
      <c r="D38" s="2">
        <f t="shared" si="0"/>
        <v>30.821</v>
      </c>
      <c r="E38" s="1">
        <v>0.030821</v>
      </c>
      <c r="F38" s="1">
        <f t="shared" si="1"/>
        <v>0.231736842105263</v>
      </c>
      <c r="G38" s="1">
        <v>0.62</v>
      </c>
      <c r="H38" s="1">
        <f t="shared" si="2"/>
        <v>0.1910902</v>
      </c>
      <c r="I38" s="1">
        <f t="shared" si="3"/>
        <v>0.8246</v>
      </c>
    </row>
    <row r="39" spans="1:9">
      <c r="A39" s="1" t="s">
        <v>46</v>
      </c>
      <c r="B39" s="2">
        <v>2</v>
      </c>
      <c r="C39" s="3">
        <v>45818</v>
      </c>
      <c r="D39" s="2">
        <f t="shared" si="0"/>
        <v>33.6</v>
      </c>
      <c r="E39" s="1">
        <v>0.0336</v>
      </c>
      <c r="F39" s="1">
        <f t="shared" si="1"/>
        <v>0.252631578947368</v>
      </c>
      <c r="G39" s="1">
        <v>0.93</v>
      </c>
      <c r="H39" s="1">
        <f t="shared" si="2"/>
        <v>0.31248</v>
      </c>
      <c r="I39" s="1">
        <f t="shared" si="3"/>
        <v>1.2369</v>
      </c>
    </row>
    <row r="40" spans="1:9">
      <c r="A40" s="1" t="s">
        <v>47</v>
      </c>
      <c r="B40" s="2">
        <v>3</v>
      </c>
      <c r="C40" s="3">
        <v>45818</v>
      </c>
      <c r="D40" s="2">
        <f t="shared" si="0"/>
        <v>30.541</v>
      </c>
      <c r="E40" s="1">
        <v>0.030541</v>
      </c>
      <c r="F40" s="1">
        <f t="shared" si="1"/>
        <v>0.229631578947368</v>
      </c>
      <c r="G40" s="1">
        <v>0.88</v>
      </c>
      <c r="H40" s="1">
        <f t="shared" si="2"/>
        <v>0.2687608</v>
      </c>
      <c r="I40" s="1">
        <f t="shared" si="3"/>
        <v>1.1704</v>
      </c>
    </row>
    <row r="41" spans="1:9">
      <c r="A41" s="1" t="s">
        <v>48</v>
      </c>
      <c r="B41" s="2">
        <v>4</v>
      </c>
      <c r="C41" s="3">
        <v>45818</v>
      </c>
      <c r="D41" s="2">
        <f t="shared" si="0"/>
        <v>33.526</v>
      </c>
      <c r="E41" s="1">
        <v>0.033526</v>
      </c>
      <c r="F41" s="1">
        <f t="shared" si="1"/>
        <v>0.252075187969925</v>
      </c>
      <c r="G41" s="1">
        <v>0.6</v>
      </c>
      <c r="H41" s="1">
        <f t="shared" si="2"/>
        <v>0.201156</v>
      </c>
      <c r="I41" s="1">
        <f t="shared" si="3"/>
        <v>0.798</v>
      </c>
    </row>
    <row r="42" spans="1:9">
      <c r="A42" s="1" t="s">
        <v>49</v>
      </c>
      <c r="B42" s="2">
        <v>5</v>
      </c>
      <c r="C42" s="3">
        <v>45818</v>
      </c>
      <c r="D42" s="2">
        <f t="shared" si="0"/>
        <v>31.899</v>
      </c>
      <c r="E42" s="1">
        <v>0.031899</v>
      </c>
      <c r="F42" s="1">
        <f t="shared" si="1"/>
        <v>0.239842105263158</v>
      </c>
      <c r="G42" s="1">
        <v>0.34</v>
      </c>
      <c r="H42" s="1">
        <f t="shared" si="2"/>
        <v>0.1084566</v>
      </c>
      <c r="I42" s="1">
        <f t="shared" si="3"/>
        <v>0.4522</v>
      </c>
    </row>
    <row r="43" spans="1:9">
      <c r="A43" s="1" t="s">
        <v>50</v>
      </c>
      <c r="B43" s="2">
        <v>6</v>
      </c>
      <c r="C43" s="3">
        <v>45818</v>
      </c>
      <c r="D43" s="2">
        <f t="shared" si="0"/>
        <v>36.932</v>
      </c>
      <c r="E43" s="1">
        <v>0.036932</v>
      </c>
      <c r="F43" s="1">
        <f t="shared" si="1"/>
        <v>0.277684210526316</v>
      </c>
      <c r="G43" s="1">
        <v>1.24</v>
      </c>
      <c r="H43" s="1">
        <f t="shared" si="2"/>
        <v>0.4579568</v>
      </c>
      <c r="I43" s="1">
        <f t="shared" si="3"/>
        <v>1.6492</v>
      </c>
    </row>
    <row r="44" spans="1:9">
      <c r="A44" s="1" t="s">
        <v>51</v>
      </c>
      <c r="B44" s="2">
        <v>7</v>
      </c>
      <c r="C44" s="3">
        <v>45818</v>
      </c>
      <c r="D44" s="2">
        <f t="shared" si="0"/>
        <v>29.571</v>
      </c>
      <c r="E44" s="1">
        <v>0.029571</v>
      </c>
      <c r="F44" s="1">
        <f t="shared" si="1"/>
        <v>0.222338345864662</v>
      </c>
      <c r="G44" s="1">
        <v>0.66</v>
      </c>
      <c r="H44" s="1">
        <f t="shared" si="2"/>
        <v>0.1951686</v>
      </c>
      <c r="I44" s="1">
        <f t="shared" si="3"/>
        <v>0.8778</v>
      </c>
    </row>
    <row r="45" spans="1:9">
      <c r="A45" s="1" t="s">
        <v>52</v>
      </c>
      <c r="B45" s="2">
        <v>8</v>
      </c>
      <c r="C45" s="3">
        <v>45818</v>
      </c>
      <c r="D45" s="2">
        <f t="shared" si="0"/>
        <v>34.938</v>
      </c>
      <c r="E45" s="1">
        <v>0.034938</v>
      </c>
      <c r="F45" s="1">
        <f t="shared" si="1"/>
        <v>0.262691729323308</v>
      </c>
      <c r="G45" s="1">
        <v>0.49</v>
      </c>
      <c r="H45" s="1">
        <f t="shared" si="2"/>
        <v>0.1711962</v>
      </c>
      <c r="I45" s="1">
        <f t="shared" si="3"/>
        <v>0.6517</v>
      </c>
    </row>
    <row r="46" spans="1:9">
      <c r="A46" s="1" t="s">
        <v>53</v>
      </c>
      <c r="B46" s="2">
        <v>9</v>
      </c>
      <c r="C46" s="3">
        <v>45818</v>
      </c>
      <c r="D46" s="2">
        <f t="shared" si="0"/>
        <v>33.335</v>
      </c>
      <c r="E46" s="1">
        <v>0.033335</v>
      </c>
      <c r="F46" s="1">
        <f t="shared" si="1"/>
        <v>0.250639097744361</v>
      </c>
      <c r="G46" s="1">
        <v>0.5</v>
      </c>
      <c r="H46" s="1">
        <f t="shared" si="2"/>
        <v>0.166675</v>
      </c>
      <c r="I46" s="1">
        <f t="shared" si="3"/>
        <v>0.665</v>
      </c>
    </row>
    <row r="47" spans="1:9">
      <c r="A47" s="1" t="s">
        <v>54</v>
      </c>
      <c r="B47" s="2">
        <v>10</v>
      </c>
      <c r="C47" s="3">
        <v>45818</v>
      </c>
      <c r="D47" s="2">
        <f t="shared" si="0"/>
        <v>33.368</v>
      </c>
      <c r="E47" s="1">
        <v>0.033368</v>
      </c>
      <c r="F47" s="1">
        <f t="shared" si="1"/>
        <v>0.250887218045113</v>
      </c>
      <c r="G47" s="1">
        <v>0.46</v>
      </c>
      <c r="H47" s="1">
        <f t="shared" si="2"/>
        <v>0.1534928</v>
      </c>
      <c r="I47" s="1">
        <f t="shared" si="3"/>
        <v>0.6118</v>
      </c>
    </row>
    <row r="48" spans="1:9">
      <c r="A48" s="1" t="s">
        <v>55</v>
      </c>
      <c r="B48" s="2">
        <v>11</v>
      </c>
      <c r="C48" s="3">
        <v>45818</v>
      </c>
      <c r="D48" s="2">
        <f t="shared" si="0"/>
        <v>33.195</v>
      </c>
      <c r="E48" s="1">
        <v>0.033195</v>
      </c>
      <c r="F48" s="1">
        <f t="shared" si="1"/>
        <v>0.249586466165414</v>
      </c>
      <c r="G48" s="1">
        <v>0.3</v>
      </c>
      <c r="H48" s="1">
        <f t="shared" si="2"/>
        <v>0.099585</v>
      </c>
      <c r="I48" s="1">
        <f t="shared" si="3"/>
        <v>0.399</v>
      </c>
    </row>
    <row r="49" spans="1:9">
      <c r="A49" s="1" t="s">
        <v>56</v>
      </c>
      <c r="B49" s="2">
        <v>12</v>
      </c>
      <c r="C49" s="3">
        <v>45818</v>
      </c>
      <c r="D49" s="2">
        <f t="shared" si="0"/>
        <v>35.155</v>
      </c>
      <c r="E49" s="1">
        <v>0.035155</v>
      </c>
      <c r="F49" s="1">
        <f t="shared" si="1"/>
        <v>0.264323308270677</v>
      </c>
      <c r="G49" s="1">
        <v>0.45</v>
      </c>
      <c r="H49" s="1">
        <f t="shared" si="2"/>
        <v>0.1581975</v>
      </c>
      <c r="I49" s="1">
        <f t="shared" si="3"/>
        <v>0.5985</v>
      </c>
    </row>
    <row r="50" spans="1:9">
      <c r="A50" s="1" t="s">
        <v>57</v>
      </c>
      <c r="B50" s="2">
        <v>13</v>
      </c>
      <c r="C50" s="3">
        <v>45818</v>
      </c>
      <c r="D50" s="2">
        <f t="shared" si="0"/>
        <v>37.526</v>
      </c>
      <c r="E50" s="1">
        <v>0.037526</v>
      </c>
      <c r="F50" s="1">
        <f t="shared" si="1"/>
        <v>0.28215037593985</v>
      </c>
      <c r="G50" s="1">
        <v>0.45</v>
      </c>
      <c r="H50" s="1">
        <f t="shared" si="2"/>
        <v>0.168867</v>
      </c>
      <c r="I50" s="1">
        <f t="shared" si="3"/>
        <v>0.5985</v>
      </c>
    </row>
    <row r="51" spans="1:9">
      <c r="A51" s="1" t="s">
        <v>58</v>
      </c>
      <c r="B51" s="2">
        <v>14</v>
      </c>
      <c r="C51" s="3">
        <v>45818</v>
      </c>
      <c r="D51" s="2">
        <f t="shared" si="0"/>
        <v>35.25</v>
      </c>
      <c r="E51" s="1">
        <v>0.03525</v>
      </c>
      <c r="F51" s="1">
        <f t="shared" si="1"/>
        <v>0.265037593984962</v>
      </c>
      <c r="G51" s="1">
        <v>0.53</v>
      </c>
      <c r="H51" s="1">
        <f t="shared" si="2"/>
        <v>0.186825</v>
      </c>
      <c r="I51" s="1">
        <f t="shared" si="3"/>
        <v>0.7049</v>
      </c>
    </row>
    <row r="52" spans="1:9">
      <c r="A52" s="4" t="s">
        <v>59</v>
      </c>
      <c r="B52" s="5">
        <v>15</v>
      </c>
      <c r="C52" s="6">
        <v>45818</v>
      </c>
      <c r="D52" s="5">
        <f t="shared" si="0"/>
        <v>33.369</v>
      </c>
      <c r="E52" s="4">
        <v>0.033369</v>
      </c>
      <c r="F52" s="4">
        <f t="shared" si="1"/>
        <v>0.250894736842105</v>
      </c>
      <c r="G52" s="4">
        <v>0.27</v>
      </c>
      <c r="H52" s="4">
        <f t="shared" si="2"/>
        <v>0.0900963</v>
      </c>
      <c r="I52" s="4">
        <f t="shared" si="3"/>
        <v>0.3591</v>
      </c>
    </row>
    <row r="53" spans="1:9">
      <c r="A53" s="1" t="s">
        <v>60</v>
      </c>
      <c r="B53" s="2">
        <v>16</v>
      </c>
      <c r="C53" s="3">
        <v>45818</v>
      </c>
      <c r="D53" s="2">
        <f t="shared" si="0"/>
        <v>32.455</v>
      </c>
      <c r="E53" s="1">
        <v>0.032455</v>
      </c>
      <c r="F53" s="1">
        <f t="shared" si="1"/>
        <v>0.244022556390977</v>
      </c>
      <c r="G53" s="1">
        <v>0.4</v>
      </c>
      <c r="H53" s="1">
        <f t="shared" si="2"/>
        <v>0.12982</v>
      </c>
      <c r="I53" s="1">
        <f t="shared" si="3"/>
        <v>0.532</v>
      </c>
    </row>
    <row r="54" spans="1:9">
      <c r="A54" s="1" t="s">
        <v>61</v>
      </c>
      <c r="B54" s="2">
        <v>17</v>
      </c>
      <c r="C54" s="3">
        <v>45818</v>
      </c>
      <c r="D54" s="2">
        <f t="shared" si="0"/>
        <v>32.916</v>
      </c>
      <c r="E54" s="1">
        <v>0.032916</v>
      </c>
      <c r="F54" s="1">
        <f t="shared" si="1"/>
        <v>0.247488721804511</v>
      </c>
      <c r="G54" s="1">
        <v>0.36</v>
      </c>
      <c r="H54" s="1">
        <f t="shared" si="2"/>
        <v>0.1184976</v>
      </c>
      <c r="I54" s="1">
        <f t="shared" si="3"/>
        <v>0.4788</v>
      </c>
    </row>
    <row r="55" spans="1:9">
      <c r="A55" s="1" t="s">
        <v>62</v>
      </c>
      <c r="B55" s="2">
        <v>18</v>
      </c>
      <c r="C55" s="3">
        <v>45818</v>
      </c>
      <c r="D55" s="2">
        <f t="shared" si="0"/>
        <v>31.844</v>
      </c>
      <c r="E55" s="1">
        <v>0.031844</v>
      </c>
      <c r="F55" s="1">
        <f t="shared" si="1"/>
        <v>0.239428571428571</v>
      </c>
      <c r="G55" s="1">
        <v>0.57</v>
      </c>
      <c r="H55" s="1">
        <f t="shared" si="2"/>
        <v>0.1815108</v>
      </c>
      <c r="I55" s="1">
        <f t="shared" si="3"/>
        <v>0.7581</v>
      </c>
    </row>
    <row r="56" spans="1:9">
      <c r="A56" s="1" t="s">
        <v>63</v>
      </c>
      <c r="B56" s="2">
        <v>19</v>
      </c>
      <c r="C56" s="3">
        <v>45818</v>
      </c>
      <c r="D56" s="2">
        <f t="shared" si="0"/>
        <v>32.907</v>
      </c>
      <c r="E56" s="1">
        <v>0.032907</v>
      </c>
      <c r="F56" s="1">
        <f t="shared" si="1"/>
        <v>0.247421052631579</v>
      </c>
      <c r="G56" s="1">
        <v>0.83</v>
      </c>
      <c r="H56" s="1">
        <f t="shared" si="2"/>
        <v>0.2731281</v>
      </c>
      <c r="I56" s="1">
        <f t="shared" si="3"/>
        <v>1.1039</v>
      </c>
    </row>
    <row r="57" spans="1:9">
      <c r="A57" s="1" t="s">
        <v>64</v>
      </c>
      <c r="B57" s="2">
        <v>20</v>
      </c>
      <c r="C57" s="3">
        <v>45818</v>
      </c>
      <c r="D57" s="2">
        <f t="shared" si="0"/>
        <v>31.641</v>
      </c>
      <c r="E57" s="1">
        <v>0.031641</v>
      </c>
      <c r="F57" s="1">
        <f t="shared" si="1"/>
        <v>0.237902255639098</v>
      </c>
      <c r="G57" s="1">
        <v>0.57</v>
      </c>
      <c r="H57" s="1">
        <f t="shared" si="2"/>
        <v>0.1803537</v>
      </c>
      <c r="I57" s="1">
        <f t="shared" si="3"/>
        <v>0.7581</v>
      </c>
    </row>
    <row r="58" spans="1:9">
      <c r="A58" s="1" t="s">
        <v>65</v>
      </c>
      <c r="B58" s="2">
        <v>21</v>
      </c>
      <c r="C58" s="3">
        <v>45818</v>
      </c>
      <c r="D58" s="2">
        <f t="shared" si="0"/>
        <v>31.33</v>
      </c>
      <c r="E58" s="1">
        <v>0.03133</v>
      </c>
      <c r="F58" s="1">
        <f t="shared" si="1"/>
        <v>0.235563909774436</v>
      </c>
      <c r="G58" s="1">
        <v>0.39</v>
      </c>
      <c r="H58" s="1">
        <f t="shared" si="2"/>
        <v>0.122187</v>
      </c>
      <c r="I58" s="1">
        <f t="shared" si="3"/>
        <v>0.5187</v>
      </c>
    </row>
    <row r="59" spans="1:9">
      <c r="A59" s="1" t="s">
        <v>66</v>
      </c>
      <c r="B59" s="2">
        <v>22</v>
      </c>
      <c r="C59" s="3">
        <v>45818</v>
      </c>
      <c r="D59" s="2">
        <f t="shared" si="0"/>
        <v>30.685</v>
      </c>
      <c r="E59" s="1">
        <v>0.030685</v>
      </c>
      <c r="F59" s="1">
        <f t="shared" si="1"/>
        <v>0.230714285714286</v>
      </c>
      <c r="G59" s="1">
        <v>0.59</v>
      </c>
      <c r="H59" s="1">
        <f t="shared" si="2"/>
        <v>0.1810415</v>
      </c>
      <c r="I59" s="1">
        <f t="shared" si="3"/>
        <v>0.7847</v>
      </c>
    </row>
    <row r="60" spans="1:9">
      <c r="A60" s="1" t="s">
        <v>67</v>
      </c>
      <c r="B60" s="2">
        <v>23</v>
      </c>
      <c r="C60" s="3">
        <v>45818</v>
      </c>
      <c r="D60" s="2">
        <f t="shared" si="0"/>
        <v>30.48</v>
      </c>
      <c r="E60" s="1">
        <v>0.03048</v>
      </c>
      <c r="F60" s="1">
        <f t="shared" si="1"/>
        <v>0.229172932330827</v>
      </c>
      <c r="G60" s="1">
        <v>0.57</v>
      </c>
      <c r="H60" s="1">
        <f t="shared" si="2"/>
        <v>0.173736</v>
      </c>
      <c r="I60" s="1">
        <f t="shared" si="3"/>
        <v>0.7581</v>
      </c>
    </row>
    <row r="61" spans="1:9">
      <c r="A61" s="1" t="s">
        <v>68</v>
      </c>
      <c r="B61" s="2">
        <v>24</v>
      </c>
      <c r="C61" s="3">
        <v>45818</v>
      </c>
      <c r="D61" s="2">
        <f t="shared" si="0"/>
        <v>22.576</v>
      </c>
      <c r="E61" s="1">
        <v>0.022576</v>
      </c>
      <c r="F61" s="1">
        <f t="shared" si="1"/>
        <v>0.169744360902256</v>
      </c>
      <c r="G61" s="1">
        <v>0.53</v>
      </c>
      <c r="H61" s="1">
        <f t="shared" si="2"/>
        <v>0.1196528</v>
      </c>
      <c r="I61" s="1">
        <f t="shared" si="3"/>
        <v>0.7049</v>
      </c>
    </row>
    <row r="62" spans="1:9">
      <c r="A62" s="1" t="s">
        <v>69</v>
      </c>
      <c r="B62" s="2">
        <v>25</v>
      </c>
      <c r="C62" s="3">
        <v>45818</v>
      </c>
      <c r="D62" s="2">
        <f t="shared" si="0"/>
        <v>20.5</v>
      </c>
      <c r="E62" s="1">
        <v>0.0205</v>
      </c>
      <c r="F62" s="1">
        <f t="shared" si="1"/>
        <v>0.154135338345865</v>
      </c>
      <c r="G62" s="1">
        <v>0.52</v>
      </c>
      <c r="H62" s="1">
        <f t="shared" si="2"/>
        <v>0.1066</v>
      </c>
      <c r="I62" s="1">
        <f t="shared" si="3"/>
        <v>0.6916</v>
      </c>
    </row>
    <row r="63" spans="1:9">
      <c r="A63" s="1" t="s">
        <v>70</v>
      </c>
      <c r="B63" s="2">
        <v>26</v>
      </c>
      <c r="C63" s="3">
        <v>45818</v>
      </c>
      <c r="D63" s="2">
        <f t="shared" si="0"/>
        <v>21.549</v>
      </c>
      <c r="E63" s="1">
        <v>0.021549</v>
      </c>
      <c r="F63" s="1">
        <f t="shared" si="1"/>
        <v>0.162022556390977</v>
      </c>
      <c r="G63" s="1">
        <v>0.68</v>
      </c>
      <c r="H63" s="1">
        <f t="shared" si="2"/>
        <v>0.1465332</v>
      </c>
      <c r="I63" s="1">
        <f t="shared" si="3"/>
        <v>0.9044</v>
      </c>
    </row>
    <row r="64" spans="1:9">
      <c r="A64" s="1" t="s">
        <v>71</v>
      </c>
      <c r="B64" s="2">
        <v>27</v>
      </c>
      <c r="C64" s="3">
        <v>45818</v>
      </c>
      <c r="D64" s="2">
        <f t="shared" si="0"/>
        <v>22.831</v>
      </c>
      <c r="E64" s="1">
        <v>0.022831</v>
      </c>
      <c r="F64" s="1">
        <f t="shared" si="1"/>
        <v>0.171661654135338</v>
      </c>
      <c r="G64" s="1">
        <v>0.79</v>
      </c>
      <c r="H64" s="1">
        <f t="shared" si="2"/>
        <v>0.1803649</v>
      </c>
      <c r="I64" s="1">
        <f t="shared" si="3"/>
        <v>1.0507</v>
      </c>
    </row>
    <row r="65" spans="1:9">
      <c r="A65" s="1" t="s">
        <v>72</v>
      </c>
      <c r="B65" s="2">
        <v>28</v>
      </c>
      <c r="C65" s="3">
        <v>45818</v>
      </c>
      <c r="D65" s="2">
        <f t="shared" si="0"/>
        <v>22.577</v>
      </c>
      <c r="E65" s="1">
        <v>0.022577</v>
      </c>
      <c r="F65" s="1">
        <f t="shared" si="1"/>
        <v>0.169751879699248</v>
      </c>
      <c r="G65" s="1">
        <v>0.54</v>
      </c>
      <c r="H65" s="1">
        <f t="shared" si="2"/>
        <v>0.1219158</v>
      </c>
      <c r="I65" s="1">
        <f t="shared" si="3"/>
        <v>0.7182</v>
      </c>
    </row>
    <row r="66" spans="1:9">
      <c r="A66" s="1" t="s">
        <v>73</v>
      </c>
      <c r="B66" s="2">
        <v>29</v>
      </c>
      <c r="C66" s="3">
        <v>45818</v>
      </c>
      <c r="D66" s="2">
        <f t="shared" ref="D66:D71" si="4">E66*1000</f>
        <v>24.333</v>
      </c>
      <c r="E66" s="1">
        <v>0.024333</v>
      </c>
      <c r="F66" s="1">
        <f t="shared" ref="F66:F71" si="5">D66/133</f>
        <v>0.182954887218045</v>
      </c>
      <c r="G66" s="1">
        <v>0.57</v>
      </c>
      <c r="H66" s="1">
        <f t="shared" ref="H66:H71" si="6">G66%*D66</f>
        <v>0.1386981</v>
      </c>
      <c r="I66" s="1">
        <f t="shared" ref="I66:I71" si="7">H66/F66</f>
        <v>0.7581</v>
      </c>
    </row>
    <row r="67" spans="1:9">
      <c r="A67" s="1" t="s">
        <v>74</v>
      </c>
      <c r="B67" s="2">
        <v>30</v>
      </c>
      <c r="C67" s="3">
        <v>45818</v>
      </c>
      <c r="D67" s="2">
        <f t="shared" si="4"/>
        <v>21.936</v>
      </c>
      <c r="E67" s="1">
        <v>0.021936</v>
      </c>
      <c r="F67" s="1">
        <f t="shared" si="5"/>
        <v>0.164932330827068</v>
      </c>
      <c r="G67" s="1">
        <v>0.82</v>
      </c>
      <c r="H67" s="1">
        <f t="shared" si="6"/>
        <v>0.1798752</v>
      </c>
      <c r="I67" s="1">
        <f t="shared" si="7"/>
        <v>1.0906</v>
      </c>
    </row>
    <row r="68" spans="1:9">
      <c r="A68" s="1" t="s">
        <v>75</v>
      </c>
      <c r="B68" s="2">
        <v>31</v>
      </c>
      <c r="C68" s="3">
        <v>45818</v>
      </c>
      <c r="D68" s="2">
        <f t="shared" si="4"/>
        <v>25.037</v>
      </c>
      <c r="E68" s="1">
        <v>0.025037</v>
      </c>
      <c r="F68" s="1">
        <f t="shared" si="5"/>
        <v>0.188248120300752</v>
      </c>
      <c r="G68" s="1">
        <v>0.38</v>
      </c>
      <c r="H68" s="1">
        <f t="shared" si="6"/>
        <v>0.0951406</v>
      </c>
      <c r="I68" s="1">
        <f t="shared" si="7"/>
        <v>0.5054</v>
      </c>
    </row>
    <row r="69" spans="1:9">
      <c r="A69" s="1" t="s">
        <v>76</v>
      </c>
      <c r="B69" s="2">
        <v>32</v>
      </c>
      <c r="C69" s="3">
        <v>45818</v>
      </c>
      <c r="D69" s="2">
        <f t="shared" si="4"/>
        <v>26.812</v>
      </c>
      <c r="E69" s="1">
        <v>0.026812</v>
      </c>
      <c r="F69" s="1">
        <f t="shared" si="5"/>
        <v>0.201593984962406</v>
      </c>
      <c r="G69" s="1">
        <v>0.57</v>
      </c>
      <c r="H69" s="1">
        <f t="shared" si="6"/>
        <v>0.1528284</v>
      </c>
      <c r="I69" s="1">
        <f t="shared" si="7"/>
        <v>0.7581</v>
      </c>
    </row>
    <row r="70" spans="1:9">
      <c r="A70" s="1" t="s">
        <v>77</v>
      </c>
      <c r="B70" s="2">
        <v>33</v>
      </c>
      <c r="C70" s="3">
        <v>45818</v>
      </c>
      <c r="D70" s="2">
        <f t="shared" si="4"/>
        <v>21.853</v>
      </c>
      <c r="E70" s="1">
        <v>0.021853</v>
      </c>
      <c r="F70" s="1">
        <f t="shared" si="5"/>
        <v>0.164308270676692</v>
      </c>
      <c r="G70" s="1">
        <v>0.53</v>
      </c>
      <c r="H70" s="1">
        <f t="shared" si="6"/>
        <v>0.1158209</v>
      </c>
      <c r="I70" s="1">
        <f t="shared" si="7"/>
        <v>0.704899999999999</v>
      </c>
    </row>
    <row r="71" spans="1:9">
      <c r="A71" s="1" t="s">
        <v>78</v>
      </c>
      <c r="B71" s="2">
        <v>34</v>
      </c>
      <c r="C71" s="3">
        <v>45818</v>
      </c>
      <c r="D71" s="2">
        <f t="shared" si="4"/>
        <v>21.192</v>
      </c>
      <c r="E71" s="1">
        <v>0.021192</v>
      </c>
      <c r="F71" s="1">
        <f t="shared" si="5"/>
        <v>0.159338345864662</v>
      </c>
      <c r="G71" s="1">
        <v>0.58</v>
      </c>
      <c r="H71" s="1">
        <f>G71%*D71</f>
        <v>0.1229136</v>
      </c>
      <c r="I71" s="1">
        <f t="shared" si="7"/>
        <v>0.7714</v>
      </c>
    </row>
    <row r="72" spans="1:9">
      <c r="A72" t="s">
        <v>79</v>
      </c>
      <c r="B72" s="7">
        <v>1</v>
      </c>
      <c r="C72" s="8">
        <v>45799</v>
      </c>
      <c r="D72">
        <f>E72*1000</f>
        <v>37.473</v>
      </c>
      <c r="E72">
        <v>0.037473</v>
      </c>
      <c r="F72" s="1">
        <f t="shared" ref="F72:F83" si="8">D72/133</f>
        <v>0.281751879699248</v>
      </c>
      <c r="G72" s="9">
        <v>0.58</v>
      </c>
      <c r="H72" s="1">
        <f>G72%*D72</f>
        <v>0.2173434</v>
      </c>
      <c r="I72" s="1">
        <f t="shared" ref="I72:I103" si="9">H72/F72</f>
        <v>0.7714</v>
      </c>
    </row>
    <row r="73" spans="1:9">
      <c r="A73" t="s">
        <v>80</v>
      </c>
      <c r="B73" s="7">
        <v>2</v>
      </c>
      <c r="C73" s="8">
        <v>45799</v>
      </c>
      <c r="D73">
        <f t="shared" ref="D72:D135" si="10">E73*1000</f>
        <v>28.683</v>
      </c>
      <c r="E73">
        <v>0.028683</v>
      </c>
      <c r="F73" s="1">
        <f t="shared" si="8"/>
        <v>0.215661654135338</v>
      </c>
      <c r="H73" s="1">
        <f>G73%*D73</f>
        <v>0</v>
      </c>
      <c r="I73" s="1">
        <f t="shared" si="9"/>
        <v>0</v>
      </c>
    </row>
    <row r="74" spans="1:9">
      <c r="A74" t="s">
        <v>81</v>
      </c>
      <c r="B74" s="7">
        <v>3</v>
      </c>
      <c r="C74" s="8">
        <v>45799</v>
      </c>
      <c r="D74">
        <f t="shared" si="10"/>
        <v>30.847</v>
      </c>
      <c r="E74">
        <v>0.030847</v>
      </c>
      <c r="F74" s="1">
        <f t="shared" si="8"/>
        <v>0.231932330827068</v>
      </c>
      <c r="H74" s="1">
        <f>G74%*D74</f>
        <v>0</v>
      </c>
      <c r="I74" s="1">
        <f t="shared" si="9"/>
        <v>0</v>
      </c>
    </row>
    <row r="75" spans="1:9">
      <c r="A75" t="s">
        <v>82</v>
      </c>
      <c r="B75" s="7">
        <v>4</v>
      </c>
      <c r="C75" s="8">
        <v>45799</v>
      </c>
      <c r="D75">
        <f t="shared" si="10"/>
        <v>31.223</v>
      </c>
      <c r="E75">
        <v>0.031223</v>
      </c>
      <c r="F75" s="1">
        <f t="shared" si="8"/>
        <v>0.234759398496241</v>
      </c>
      <c r="H75" s="1">
        <f>G75%*D75</f>
        <v>0</v>
      </c>
      <c r="I75" s="1">
        <f t="shared" si="9"/>
        <v>0</v>
      </c>
    </row>
    <row r="76" spans="1:9">
      <c r="A76" t="s">
        <v>83</v>
      </c>
      <c r="B76" s="7">
        <v>5</v>
      </c>
      <c r="C76" s="8">
        <v>45799</v>
      </c>
      <c r="D76">
        <f t="shared" si="10"/>
        <v>32.547</v>
      </c>
      <c r="E76">
        <v>0.032547</v>
      </c>
      <c r="F76" s="1">
        <f t="shared" si="8"/>
        <v>0.244714285714286</v>
      </c>
      <c r="H76" s="1">
        <f>G76%*D76</f>
        <v>0</v>
      </c>
      <c r="I76" s="1">
        <f t="shared" si="9"/>
        <v>0</v>
      </c>
    </row>
    <row r="77" spans="1:9">
      <c r="A77" t="s">
        <v>84</v>
      </c>
      <c r="B77" s="7">
        <v>6</v>
      </c>
      <c r="C77" s="8">
        <v>45799</v>
      </c>
      <c r="D77">
        <f t="shared" si="10"/>
        <v>31.811</v>
      </c>
      <c r="E77">
        <v>0.031811</v>
      </c>
      <c r="F77" s="1">
        <f t="shared" si="8"/>
        <v>0.23918045112782</v>
      </c>
      <c r="H77" s="1">
        <f t="shared" ref="H77:H88" si="11">G77%*D77</f>
        <v>0</v>
      </c>
      <c r="I77" s="1">
        <f t="shared" si="9"/>
        <v>0</v>
      </c>
    </row>
    <row r="78" spans="1:9">
      <c r="A78" t="s">
        <v>85</v>
      </c>
      <c r="B78" s="7">
        <v>7</v>
      </c>
      <c r="C78" s="8">
        <v>45799</v>
      </c>
      <c r="D78">
        <f t="shared" si="10"/>
        <v>31.501</v>
      </c>
      <c r="E78">
        <v>0.031501</v>
      </c>
      <c r="F78" s="1">
        <f t="shared" si="8"/>
        <v>0.23684962406015</v>
      </c>
      <c r="H78" s="1">
        <f t="shared" si="11"/>
        <v>0</v>
      </c>
      <c r="I78" s="1">
        <f t="shared" si="9"/>
        <v>0</v>
      </c>
    </row>
    <row r="79" spans="1:9">
      <c r="A79" t="s">
        <v>86</v>
      </c>
      <c r="B79" s="7">
        <v>8</v>
      </c>
      <c r="C79" s="8">
        <v>45799</v>
      </c>
      <c r="D79">
        <f t="shared" si="10"/>
        <v>32.398</v>
      </c>
      <c r="E79">
        <v>0.032398</v>
      </c>
      <c r="F79" s="1">
        <f t="shared" si="8"/>
        <v>0.243593984962406</v>
      </c>
      <c r="H79" s="1">
        <f t="shared" si="11"/>
        <v>0</v>
      </c>
      <c r="I79" s="1">
        <f t="shared" si="9"/>
        <v>0</v>
      </c>
    </row>
    <row r="80" spans="1:9">
      <c r="A80" t="s">
        <v>87</v>
      </c>
      <c r="B80" s="7">
        <v>9</v>
      </c>
      <c r="C80" s="8">
        <v>45799</v>
      </c>
      <c r="D80">
        <f t="shared" si="10"/>
        <v>30.099</v>
      </c>
      <c r="E80">
        <v>0.030099</v>
      </c>
      <c r="F80" s="1">
        <f t="shared" si="8"/>
        <v>0.226308270676692</v>
      </c>
      <c r="G80">
        <v>0.7</v>
      </c>
      <c r="H80" s="1">
        <f t="shared" si="11"/>
        <v>0.210693</v>
      </c>
      <c r="I80" s="1">
        <f t="shared" si="9"/>
        <v>0.931</v>
      </c>
    </row>
    <row r="81" spans="1:9">
      <c r="A81" t="s">
        <v>88</v>
      </c>
      <c r="B81" s="7">
        <v>10</v>
      </c>
      <c r="C81" s="8">
        <v>45799</v>
      </c>
      <c r="D81">
        <f t="shared" si="10"/>
        <v>31.107</v>
      </c>
      <c r="E81">
        <v>0.031107</v>
      </c>
      <c r="F81" s="1">
        <f t="shared" si="8"/>
        <v>0.233887218045113</v>
      </c>
      <c r="G81">
        <v>1.31</v>
      </c>
      <c r="H81" s="1">
        <f t="shared" si="11"/>
        <v>0.4075017</v>
      </c>
      <c r="I81" s="1">
        <f t="shared" si="9"/>
        <v>1.7423</v>
      </c>
    </row>
    <row r="82" spans="1:9">
      <c r="A82" t="s">
        <v>89</v>
      </c>
      <c r="B82" s="7">
        <v>11</v>
      </c>
      <c r="C82" s="8">
        <v>45799</v>
      </c>
      <c r="D82">
        <f t="shared" si="10"/>
        <v>32.517</v>
      </c>
      <c r="E82">
        <v>0.032517</v>
      </c>
      <c r="F82" s="1">
        <f t="shared" si="8"/>
        <v>0.244488721804511</v>
      </c>
      <c r="G82">
        <v>0.7</v>
      </c>
      <c r="H82" s="1">
        <f t="shared" si="11"/>
        <v>0.227619</v>
      </c>
      <c r="I82" s="1">
        <f t="shared" si="9"/>
        <v>0.931</v>
      </c>
    </row>
    <row r="83" spans="1:9">
      <c r="A83" t="s">
        <v>90</v>
      </c>
      <c r="B83" s="7">
        <v>12</v>
      </c>
      <c r="C83" s="8">
        <v>45799</v>
      </c>
      <c r="D83">
        <f t="shared" si="10"/>
        <v>29.65</v>
      </c>
      <c r="E83">
        <v>0.02965</v>
      </c>
      <c r="F83" s="1">
        <f t="shared" si="8"/>
        <v>0.222932330827068</v>
      </c>
      <c r="G83">
        <v>0.94</v>
      </c>
      <c r="H83" s="1">
        <f t="shared" si="11"/>
        <v>0.27871</v>
      </c>
      <c r="I83" s="1">
        <f t="shared" si="9"/>
        <v>1.2502</v>
      </c>
    </row>
    <row r="84" spans="1:9">
      <c r="A84" t="s">
        <v>91</v>
      </c>
      <c r="B84" s="7">
        <v>13</v>
      </c>
      <c r="C84" s="8">
        <v>45799</v>
      </c>
      <c r="D84">
        <f t="shared" si="10"/>
        <v>29.571</v>
      </c>
      <c r="E84">
        <v>0.029571</v>
      </c>
      <c r="F84" s="1">
        <f t="shared" ref="F84:F99" si="12">D84/133</f>
        <v>0.222338345864662</v>
      </c>
      <c r="G84">
        <v>0.59</v>
      </c>
      <c r="H84" s="1">
        <f t="shared" si="11"/>
        <v>0.1744689</v>
      </c>
      <c r="I84" s="1">
        <f t="shared" si="9"/>
        <v>0.7847</v>
      </c>
    </row>
    <row r="85" spans="1:9">
      <c r="A85" t="s">
        <v>92</v>
      </c>
      <c r="B85" s="7">
        <v>14</v>
      </c>
      <c r="C85" s="8">
        <v>45799</v>
      </c>
      <c r="D85">
        <f t="shared" si="10"/>
        <v>34.966</v>
      </c>
      <c r="E85">
        <v>0.034966</v>
      </c>
      <c r="F85" s="1">
        <f t="shared" si="12"/>
        <v>0.262902255639098</v>
      </c>
      <c r="G85" s="9">
        <v>1.08</v>
      </c>
      <c r="H85" s="1">
        <f t="shared" si="11"/>
        <v>0.3776328</v>
      </c>
      <c r="I85" s="1">
        <f t="shared" si="9"/>
        <v>1.4364</v>
      </c>
    </row>
    <row r="86" spans="1:9">
      <c r="A86" t="s">
        <v>93</v>
      </c>
      <c r="B86" s="7">
        <v>15</v>
      </c>
      <c r="C86" s="8">
        <v>45799</v>
      </c>
      <c r="D86">
        <f t="shared" si="10"/>
        <v>28.998</v>
      </c>
      <c r="E86">
        <v>0.028998</v>
      </c>
      <c r="F86" s="1">
        <f t="shared" si="12"/>
        <v>0.21803007518797</v>
      </c>
      <c r="G86">
        <v>0.86</v>
      </c>
      <c r="H86" s="1">
        <f t="shared" si="11"/>
        <v>0.2493828</v>
      </c>
      <c r="I86" s="1">
        <f t="shared" si="9"/>
        <v>1.1438</v>
      </c>
    </row>
    <row r="87" spans="1:9">
      <c r="A87" t="s">
        <v>94</v>
      </c>
      <c r="B87" s="7">
        <v>16</v>
      </c>
      <c r="C87" s="8">
        <v>45799</v>
      </c>
      <c r="D87">
        <f t="shared" si="10"/>
        <v>32.586</v>
      </c>
      <c r="E87">
        <v>0.032586</v>
      </c>
      <c r="F87" s="1">
        <f t="shared" si="12"/>
        <v>0.245007518796992</v>
      </c>
      <c r="G87">
        <v>1.26</v>
      </c>
      <c r="H87" s="1">
        <f t="shared" si="11"/>
        <v>0.4105836</v>
      </c>
      <c r="I87" s="1">
        <f t="shared" si="9"/>
        <v>1.6758</v>
      </c>
    </row>
    <row r="88" spans="1:9">
      <c r="A88" t="s">
        <v>95</v>
      </c>
      <c r="B88" s="7">
        <v>17</v>
      </c>
      <c r="C88" s="8">
        <v>45799</v>
      </c>
      <c r="D88">
        <f t="shared" si="10"/>
        <v>30.028</v>
      </c>
      <c r="E88">
        <v>0.030028</v>
      </c>
      <c r="F88" s="1">
        <f t="shared" si="12"/>
        <v>0.225774436090226</v>
      </c>
      <c r="G88">
        <v>0.61</v>
      </c>
      <c r="H88" s="1">
        <f t="shared" si="11"/>
        <v>0.1831708</v>
      </c>
      <c r="I88" s="1">
        <f t="shared" si="9"/>
        <v>0.8113</v>
      </c>
    </row>
    <row r="89" spans="1:9">
      <c r="A89" t="s">
        <v>96</v>
      </c>
      <c r="B89" s="7">
        <v>18</v>
      </c>
      <c r="C89" s="8">
        <v>45799</v>
      </c>
      <c r="D89">
        <f t="shared" si="10"/>
        <v>34.099</v>
      </c>
      <c r="E89">
        <v>0.034099</v>
      </c>
      <c r="F89" s="1">
        <f t="shared" si="12"/>
        <v>0.256383458646616</v>
      </c>
      <c r="G89">
        <v>0.7</v>
      </c>
      <c r="H89" s="1">
        <f t="shared" ref="H89:H101" si="13">G89%*D89</f>
        <v>0.238693</v>
      </c>
      <c r="I89" s="1">
        <f t="shared" si="9"/>
        <v>0.931</v>
      </c>
    </row>
    <row r="90" spans="1:9">
      <c r="A90" t="s">
        <v>97</v>
      </c>
      <c r="B90" s="7">
        <v>19</v>
      </c>
      <c r="C90" s="8">
        <v>45799</v>
      </c>
      <c r="D90">
        <f t="shared" si="10"/>
        <v>33.259</v>
      </c>
      <c r="E90">
        <v>0.033259</v>
      </c>
      <c r="F90" s="1">
        <f t="shared" si="12"/>
        <v>0.250067669172932</v>
      </c>
      <c r="G90" s="9">
        <v>0.96</v>
      </c>
      <c r="H90" s="1">
        <f t="shared" si="13"/>
        <v>0.3192864</v>
      </c>
      <c r="I90" s="1">
        <f t="shared" si="9"/>
        <v>1.2768</v>
      </c>
    </row>
    <row r="91" spans="1:9">
      <c r="A91" t="s">
        <v>98</v>
      </c>
      <c r="B91" s="7">
        <v>20</v>
      </c>
      <c r="C91" s="8">
        <v>45799</v>
      </c>
      <c r="D91">
        <f t="shared" si="10"/>
        <v>32.826</v>
      </c>
      <c r="E91">
        <v>0.032826</v>
      </c>
      <c r="F91" s="1">
        <f t="shared" si="12"/>
        <v>0.246812030075188</v>
      </c>
      <c r="G91">
        <v>0.99</v>
      </c>
      <c r="H91" s="1">
        <f t="shared" si="13"/>
        <v>0.3249774</v>
      </c>
      <c r="I91" s="1">
        <f t="shared" si="9"/>
        <v>1.3167</v>
      </c>
    </row>
    <row r="92" spans="1:9">
      <c r="A92" t="s">
        <v>99</v>
      </c>
      <c r="B92" s="7">
        <v>21</v>
      </c>
      <c r="C92" s="8">
        <v>45799</v>
      </c>
      <c r="D92">
        <f t="shared" si="10"/>
        <v>28.905</v>
      </c>
      <c r="E92">
        <v>0.028905</v>
      </c>
      <c r="F92" s="1">
        <f t="shared" si="12"/>
        <v>0.217330827067669</v>
      </c>
      <c r="G92" s="9">
        <v>1.07</v>
      </c>
      <c r="H92" s="1">
        <f t="shared" si="13"/>
        <v>0.3092835</v>
      </c>
      <c r="I92" s="1">
        <f t="shared" si="9"/>
        <v>1.4231</v>
      </c>
    </row>
    <row r="93" spans="1:9">
      <c r="A93" t="s">
        <v>100</v>
      </c>
      <c r="B93" s="7">
        <v>22</v>
      </c>
      <c r="C93" s="8">
        <v>45799</v>
      </c>
      <c r="D93">
        <f t="shared" si="10"/>
        <v>36.047</v>
      </c>
      <c r="E93">
        <v>0.036047</v>
      </c>
      <c r="F93" s="1">
        <f t="shared" si="12"/>
        <v>0.27103007518797</v>
      </c>
      <c r="G93">
        <v>0.92</v>
      </c>
      <c r="H93" s="1">
        <f t="shared" si="13"/>
        <v>0.3316324</v>
      </c>
      <c r="I93" s="1">
        <f t="shared" si="9"/>
        <v>1.2236</v>
      </c>
    </row>
    <row r="94" spans="1:9">
      <c r="A94" t="s">
        <v>101</v>
      </c>
      <c r="B94" s="7">
        <v>23</v>
      </c>
      <c r="C94" s="8">
        <v>45799</v>
      </c>
      <c r="D94">
        <f t="shared" si="10"/>
        <v>36.858</v>
      </c>
      <c r="E94">
        <v>0.036858</v>
      </c>
      <c r="F94" s="1">
        <f t="shared" si="12"/>
        <v>0.277127819548872</v>
      </c>
      <c r="G94">
        <v>0.61</v>
      </c>
      <c r="H94" s="1">
        <f t="shared" si="13"/>
        <v>0.2248338</v>
      </c>
      <c r="I94" s="1">
        <f t="shared" si="9"/>
        <v>0.8113</v>
      </c>
    </row>
    <row r="95" spans="1:9">
      <c r="A95" t="s">
        <v>102</v>
      </c>
      <c r="B95" s="7">
        <v>24</v>
      </c>
      <c r="C95" s="8">
        <v>45799</v>
      </c>
      <c r="D95">
        <f t="shared" si="10"/>
        <v>36.378</v>
      </c>
      <c r="E95">
        <v>0.036378</v>
      </c>
      <c r="F95" s="1">
        <f t="shared" si="12"/>
        <v>0.273518796992481</v>
      </c>
      <c r="G95" s="9">
        <v>1.06</v>
      </c>
      <c r="H95" s="1">
        <f t="shared" si="13"/>
        <v>0.3856068</v>
      </c>
      <c r="I95" s="1">
        <f t="shared" si="9"/>
        <v>1.4098</v>
      </c>
    </row>
    <row r="96" spans="1:9">
      <c r="A96" t="s">
        <v>103</v>
      </c>
      <c r="B96" s="7">
        <v>25</v>
      </c>
      <c r="C96" s="8">
        <v>45799</v>
      </c>
      <c r="D96">
        <f t="shared" si="10"/>
        <v>30.344</v>
      </c>
      <c r="E96">
        <v>0.030344</v>
      </c>
      <c r="F96" s="1">
        <f t="shared" si="12"/>
        <v>0.22815037593985</v>
      </c>
      <c r="G96" s="9">
        <v>0.81</v>
      </c>
      <c r="H96" s="1">
        <f t="shared" si="13"/>
        <v>0.2457864</v>
      </c>
      <c r="I96" s="1">
        <f t="shared" si="9"/>
        <v>1.0773</v>
      </c>
    </row>
    <row r="97" spans="1:9">
      <c r="A97" t="s">
        <v>104</v>
      </c>
      <c r="B97" s="7">
        <v>26</v>
      </c>
      <c r="C97" s="8">
        <v>45799</v>
      </c>
      <c r="D97">
        <f t="shared" si="10"/>
        <v>32.998</v>
      </c>
      <c r="E97">
        <v>0.032998</v>
      </c>
      <c r="F97" s="1">
        <f t="shared" si="12"/>
        <v>0.248105263157895</v>
      </c>
      <c r="G97">
        <v>1.19</v>
      </c>
      <c r="H97" s="1">
        <f t="shared" si="13"/>
        <v>0.3926762</v>
      </c>
      <c r="I97" s="1">
        <f t="shared" si="9"/>
        <v>1.5827</v>
      </c>
    </row>
    <row r="98" spans="1:9">
      <c r="A98" t="s">
        <v>105</v>
      </c>
      <c r="B98" s="7">
        <v>27</v>
      </c>
      <c r="C98" s="8">
        <v>45799</v>
      </c>
      <c r="D98">
        <f t="shared" si="10"/>
        <v>31.385</v>
      </c>
      <c r="E98">
        <v>0.031385</v>
      </c>
      <c r="F98" s="1">
        <f t="shared" si="12"/>
        <v>0.235977443609023</v>
      </c>
      <c r="G98">
        <v>0.82</v>
      </c>
      <c r="H98" s="1">
        <f t="shared" si="13"/>
        <v>0.257357</v>
      </c>
      <c r="I98" s="1">
        <f t="shared" si="9"/>
        <v>1.0906</v>
      </c>
    </row>
    <row r="99" spans="1:9">
      <c r="A99" t="s">
        <v>106</v>
      </c>
      <c r="B99" s="7">
        <v>28</v>
      </c>
      <c r="C99" s="8">
        <v>45799</v>
      </c>
      <c r="D99">
        <f t="shared" si="10"/>
        <v>33.294</v>
      </c>
      <c r="E99">
        <v>0.033294</v>
      </c>
      <c r="F99" s="1">
        <f t="shared" si="12"/>
        <v>0.250330827067669</v>
      </c>
      <c r="G99">
        <v>1.68</v>
      </c>
      <c r="H99" s="1">
        <f t="shared" si="13"/>
        <v>0.5593392</v>
      </c>
      <c r="I99" s="1">
        <f t="shared" si="9"/>
        <v>2.2344</v>
      </c>
    </row>
    <row r="100" spans="1:9">
      <c r="A100" t="s">
        <v>107</v>
      </c>
      <c r="B100" s="7">
        <v>29</v>
      </c>
      <c r="C100" s="8">
        <v>45799</v>
      </c>
      <c r="D100">
        <f t="shared" si="10"/>
        <v>29.862</v>
      </c>
      <c r="E100">
        <v>0.029862</v>
      </c>
      <c r="F100" s="1">
        <f t="shared" ref="F100:F120" si="14">D100/133</f>
        <v>0.224526315789474</v>
      </c>
      <c r="G100">
        <v>0.59</v>
      </c>
      <c r="H100" s="1">
        <f t="shared" si="13"/>
        <v>0.1761858</v>
      </c>
      <c r="I100" s="1">
        <f t="shared" si="9"/>
        <v>0.7847</v>
      </c>
    </row>
    <row r="101" spans="1:9">
      <c r="A101" t="s">
        <v>108</v>
      </c>
      <c r="B101" s="7">
        <v>30</v>
      </c>
      <c r="C101" s="8">
        <v>45799</v>
      </c>
      <c r="D101">
        <f t="shared" si="10"/>
        <v>29.924</v>
      </c>
      <c r="E101">
        <v>0.029924</v>
      </c>
      <c r="F101" s="1">
        <f t="shared" si="14"/>
        <v>0.224992481203008</v>
      </c>
      <c r="G101">
        <v>0.67</v>
      </c>
      <c r="H101" s="1">
        <f t="shared" si="13"/>
        <v>0.2004908</v>
      </c>
      <c r="I101" s="1">
        <f t="shared" si="9"/>
        <v>0.8911</v>
      </c>
    </row>
    <row r="102" spans="1:9">
      <c r="A102" t="s">
        <v>109</v>
      </c>
      <c r="B102" s="7">
        <v>31</v>
      </c>
      <c r="C102" s="8">
        <v>45799</v>
      </c>
      <c r="D102">
        <f t="shared" si="10"/>
        <v>29.933</v>
      </c>
      <c r="E102">
        <v>0.029933</v>
      </c>
      <c r="F102" s="1">
        <f t="shared" si="14"/>
        <v>0.22506015037594</v>
      </c>
      <c r="G102">
        <v>0.8</v>
      </c>
      <c r="H102" s="1">
        <f t="shared" ref="H102:H117" si="15">G102%*D102</f>
        <v>0.239464</v>
      </c>
      <c r="I102" s="1">
        <f t="shared" si="9"/>
        <v>1.064</v>
      </c>
    </row>
    <row r="103" spans="1:9">
      <c r="A103" t="s">
        <v>110</v>
      </c>
      <c r="B103" s="7">
        <v>32</v>
      </c>
      <c r="C103" s="8">
        <v>45799</v>
      </c>
      <c r="D103">
        <f t="shared" si="10"/>
        <v>31.033</v>
      </c>
      <c r="E103">
        <v>0.031033</v>
      </c>
      <c r="F103" s="1">
        <f t="shared" si="14"/>
        <v>0.233330827067669</v>
      </c>
      <c r="G103">
        <v>1.06</v>
      </c>
      <c r="H103" s="1">
        <f t="shared" si="15"/>
        <v>0.3289498</v>
      </c>
      <c r="I103" s="1">
        <f t="shared" si="9"/>
        <v>1.4098</v>
      </c>
    </row>
    <row r="104" spans="1:9">
      <c r="A104" t="s">
        <v>111</v>
      </c>
      <c r="B104" s="7">
        <v>33</v>
      </c>
      <c r="C104" s="8">
        <v>45799</v>
      </c>
      <c r="D104">
        <f t="shared" si="10"/>
        <v>32.012</v>
      </c>
      <c r="E104">
        <v>0.032012</v>
      </c>
      <c r="F104" s="1">
        <f t="shared" si="14"/>
        <v>0.240691729323308</v>
      </c>
      <c r="G104">
        <v>0.56</v>
      </c>
      <c r="H104" s="1">
        <f t="shared" si="15"/>
        <v>0.1792672</v>
      </c>
      <c r="I104" s="1">
        <f t="shared" ref="I104:I135" si="16">H104/F104</f>
        <v>0.7448</v>
      </c>
    </row>
    <row r="105" spans="1:9">
      <c r="A105" t="s">
        <v>112</v>
      </c>
      <c r="B105" s="7">
        <v>34</v>
      </c>
      <c r="C105" s="8">
        <v>45799</v>
      </c>
      <c r="D105">
        <f t="shared" si="10"/>
        <v>30.929</v>
      </c>
      <c r="E105">
        <v>0.030929</v>
      </c>
      <c r="F105" s="1">
        <f t="shared" si="14"/>
        <v>0.232548872180451</v>
      </c>
      <c r="G105">
        <v>0.99</v>
      </c>
      <c r="H105" s="1">
        <f t="shared" si="15"/>
        <v>0.3061971</v>
      </c>
      <c r="I105" s="1">
        <f t="shared" si="16"/>
        <v>1.3167</v>
      </c>
    </row>
    <row r="106" spans="1:9">
      <c r="A106" t="s">
        <v>113</v>
      </c>
      <c r="B106" s="7">
        <v>35</v>
      </c>
      <c r="C106" s="8">
        <v>45799</v>
      </c>
      <c r="D106">
        <f t="shared" si="10"/>
        <v>32.39</v>
      </c>
      <c r="E106">
        <v>0.03239</v>
      </c>
      <c r="F106" s="1">
        <f t="shared" si="14"/>
        <v>0.243533834586466</v>
      </c>
      <c r="G106">
        <v>0.71</v>
      </c>
      <c r="H106" s="1">
        <f t="shared" si="15"/>
        <v>0.229969</v>
      </c>
      <c r="I106" s="1">
        <f t="shared" si="16"/>
        <v>0.9443</v>
      </c>
    </row>
    <row r="107" spans="1:9">
      <c r="A107" t="s">
        <v>114</v>
      </c>
      <c r="B107" s="7">
        <v>36</v>
      </c>
      <c r="C107" s="8">
        <v>45799</v>
      </c>
      <c r="D107">
        <f t="shared" si="10"/>
        <v>33.314</v>
      </c>
      <c r="E107">
        <v>0.033314</v>
      </c>
      <c r="F107" s="1">
        <f t="shared" si="14"/>
        <v>0.250481203007519</v>
      </c>
      <c r="G107">
        <v>0.65</v>
      </c>
      <c r="H107" s="1">
        <f t="shared" si="15"/>
        <v>0.216541</v>
      </c>
      <c r="I107" s="1">
        <f t="shared" si="16"/>
        <v>0.8645</v>
      </c>
    </row>
    <row r="108" spans="1:9">
      <c r="A108" t="s">
        <v>115</v>
      </c>
      <c r="B108" s="7">
        <v>1</v>
      </c>
      <c r="C108" s="8">
        <v>45818</v>
      </c>
      <c r="D108">
        <f t="shared" si="10"/>
        <v>33.298</v>
      </c>
      <c r="E108">
        <v>0.033298</v>
      </c>
      <c r="F108" s="1">
        <f t="shared" si="14"/>
        <v>0.250360902255639</v>
      </c>
      <c r="G108">
        <v>0.8</v>
      </c>
      <c r="H108" s="1">
        <f t="shared" si="15"/>
        <v>0.266384</v>
      </c>
      <c r="I108" s="1">
        <f t="shared" si="16"/>
        <v>1.064</v>
      </c>
    </row>
    <row r="109" spans="1:9">
      <c r="A109" t="s">
        <v>116</v>
      </c>
      <c r="B109" s="7">
        <v>2</v>
      </c>
      <c r="C109" s="8">
        <v>45818</v>
      </c>
      <c r="D109">
        <f t="shared" si="10"/>
        <v>34.467</v>
      </c>
      <c r="E109">
        <v>0.034467</v>
      </c>
      <c r="F109" s="1">
        <f t="shared" si="14"/>
        <v>0.25915037593985</v>
      </c>
      <c r="G109">
        <v>1.31</v>
      </c>
      <c r="H109" s="1">
        <f t="shared" si="15"/>
        <v>0.4515177</v>
      </c>
      <c r="I109" s="1">
        <f t="shared" si="16"/>
        <v>1.7423</v>
      </c>
    </row>
    <row r="110" spans="1:9">
      <c r="A110" t="s">
        <v>117</v>
      </c>
      <c r="B110" s="7">
        <v>3</v>
      </c>
      <c r="C110" s="8">
        <v>45818</v>
      </c>
      <c r="D110">
        <f t="shared" si="10"/>
        <v>32.834</v>
      </c>
      <c r="E110">
        <v>0.032834</v>
      </c>
      <c r="F110" s="1">
        <f t="shared" si="14"/>
        <v>0.246872180451128</v>
      </c>
      <c r="G110">
        <v>1.17</v>
      </c>
      <c r="H110" s="1">
        <f t="shared" si="15"/>
        <v>0.3841578</v>
      </c>
      <c r="I110" s="1">
        <f t="shared" si="16"/>
        <v>1.5561</v>
      </c>
    </row>
    <row r="111" spans="1:9">
      <c r="A111" t="s">
        <v>118</v>
      </c>
      <c r="B111" s="7">
        <v>4</v>
      </c>
      <c r="C111" s="8">
        <v>45818</v>
      </c>
      <c r="D111">
        <f t="shared" si="10"/>
        <v>35.371</v>
      </c>
      <c r="E111">
        <v>0.035371</v>
      </c>
      <c r="F111" s="1">
        <f t="shared" si="14"/>
        <v>0.265947368421053</v>
      </c>
      <c r="G111">
        <v>1.05</v>
      </c>
      <c r="H111" s="1">
        <f t="shared" si="15"/>
        <v>0.3713955</v>
      </c>
      <c r="I111" s="1">
        <f t="shared" si="16"/>
        <v>1.3965</v>
      </c>
    </row>
    <row r="112" spans="1:9">
      <c r="A112" t="s">
        <v>119</v>
      </c>
      <c r="B112" s="7">
        <v>5</v>
      </c>
      <c r="C112" s="8">
        <v>45818</v>
      </c>
      <c r="D112">
        <f t="shared" si="10"/>
        <v>29.184</v>
      </c>
      <c r="E112">
        <v>0.029184</v>
      </c>
      <c r="F112" s="1">
        <f t="shared" si="14"/>
        <v>0.219428571428571</v>
      </c>
      <c r="G112">
        <v>0.42</v>
      </c>
      <c r="H112" s="1">
        <f t="shared" si="15"/>
        <v>0.1225728</v>
      </c>
      <c r="I112" s="1">
        <f t="shared" si="16"/>
        <v>0.5586</v>
      </c>
    </row>
    <row r="113" spans="1:9">
      <c r="A113" t="s">
        <v>120</v>
      </c>
      <c r="B113" s="7">
        <v>6</v>
      </c>
      <c r="C113" s="8">
        <v>45818</v>
      </c>
      <c r="D113">
        <f t="shared" si="10"/>
        <v>33.858</v>
      </c>
      <c r="E113">
        <v>0.033858</v>
      </c>
      <c r="F113" s="1">
        <f t="shared" si="14"/>
        <v>0.254571428571429</v>
      </c>
      <c r="G113">
        <v>1.37</v>
      </c>
      <c r="H113" s="1">
        <f t="shared" si="15"/>
        <v>0.4638546</v>
      </c>
      <c r="I113" s="1">
        <f t="shared" si="16"/>
        <v>1.8221</v>
      </c>
    </row>
    <row r="114" spans="1:9">
      <c r="A114" t="s">
        <v>121</v>
      </c>
      <c r="B114" s="7">
        <v>7</v>
      </c>
      <c r="C114" s="8">
        <v>45818</v>
      </c>
      <c r="D114">
        <f t="shared" si="10"/>
        <v>31.793</v>
      </c>
      <c r="E114">
        <v>0.031793</v>
      </c>
      <c r="F114" s="1">
        <f t="shared" si="14"/>
        <v>0.239045112781955</v>
      </c>
      <c r="G114">
        <v>0.77</v>
      </c>
      <c r="H114" s="1">
        <f t="shared" si="15"/>
        <v>0.2448061</v>
      </c>
      <c r="I114" s="1">
        <f t="shared" si="16"/>
        <v>1.0241</v>
      </c>
    </row>
    <row r="115" spans="1:9">
      <c r="A115" t="s">
        <v>122</v>
      </c>
      <c r="B115" s="7">
        <v>8</v>
      </c>
      <c r="C115" s="8">
        <v>45818</v>
      </c>
      <c r="D115">
        <f t="shared" si="10"/>
        <v>34.839</v>
      </c>
      <c r="E115">
        <v>0.034839</v>
      </c>
      <c r="F115" s="1">
        <f t="shared" si="14"/>
        <v>0.261947368421053</v>
      </c>
      <c r="G115">
        <v>0.52</v>
      </c>
      <c r="H115" s="1">
        <f t="shared" si="15"/>
        <v>0.1811628</v>
      </c>
      <c r="I115" s="1">
        <f t="shared" si="16"/>
        <v>0.6916</v>
      </c>
    </row>
    <row r="116" spans="1:9">
      <c r="A116" t="s">
        <v>123</v>
      </c>
      <c r="B116" s="7">
        <v>9</v>
      </c>
      <c r="C116" s="8">
        <v>45818</v>
      </c>
      <c r="D116">
        <f t="shared" si="10"/>
        <v>32.546</v>
      </c>
      <c r="E116">
        <v>0.032546</v>
      </c>
      <c r="F116" s="1">
        <f t="shared" si="14"/>
        <v>0.244706766917293</v>
      </c>
      <c r="G116">
        <v>0.69</v>
      </c>
      <c r="H116" s="1">
        <f t="shared" si="15"/>
        <v>0.2245674</v>
      </c>
      <c r="I116" s="1">
        <f t="shared" si="16"/>
        <v>0.9177</v>
      </c>
    </row>
    <row r="117" spans="1:9">
      <c r="A117" t="s">
        <v>124</v>
      </c>
      <c r="B117" s="7">
        <v>10</v>
      </c>
      <c r="C117" s="8">
        <v>45818</v>
      </c>
      <c r="D117">
        <f t="shared" si="10"/>
        <v>35.358</v>
      </c>
      <c r="E117">
        <v>0.035358</v>
      </c>
      <c r="F117" s="1">
        <f t="shared" si="14"/>
        <v>0.26584962406015</v>
      </c>
      <c r="G117">
        <v>0.69</v>
      </c>
      <c r="H117" s="1">
        <f t="shared" si="15"/>
        <v>0.2439702</v>
      </c>
      <c r="I117" s="1">
        <f t="shared" si="16"/>
        <v>0.9177</v>
      </c>
    </row>
    <row r="118" spans="1:9">
      <c r="A118" t="s">
        <v>125</v>
      </c>
      <c r="B118" s="7">
        <v>11</v>
      </c>
      <c r="C118" s="8">
        <v>45818</v>
      </c>
      <c r="D118">
        <f t="shared" si="10"/>
        <v>34.455</v>
      </c>
      <c r="E118">
        <v>0.034455</v>
      </c>
      <c r="F118" s="1">
        <f t="shared" si="14"/>
        <v>0.25906015037594</v>
      </c>
      <c r="G118">
        <v>0.33</v>
      </c>
      <c r="H118" s="1">
        <f t="shared" ref="H118:H133" si="17">G118%*D118</f>
        <v>0.1137015</v>
      </c>
      <c r="I118" s="1">
        <f t="shared" si="16"/>
        <v>0.4389</v>
      </c>
    </row>
    <row r="119" spans="1:9">
      <c r="A119" t="s">
        <v>126</v>
      </c>
      <c r="B119" s="7">
        <v>12</v>
      </c>
      <c r="C119" s="8">
        <v>45818</v>
      </c>
      <c r="D119">
        <f t="shared" si="10"/>
        <v>33.446</v>
      </c>
      <c r="E119">
        <v>0.033446</v>
      </c>
      <c r="F119" s="1">
        <f t="shared" si="14"/>
        <v>0.251473684210526</v>
      </c>
      <c r="G119">
        <v>0.57</v>
      </c>
      <c r="H119" s="1">
        <f t="shared" si="17"/>
        <v>0.1906422</v>
      </c>
      <c r="I119" s="1">
        <f t="shared" si="16"/>
        <v>0.7581</v>
      </c>
    </row>
    <row r="120" spans="1:9">
      <c r="A120" t="s">
        <v>127</v>
      </c>
      <c r="B120" s="7">
        <v>13</v>
      </c>
      <c r="C120" s="8">
        <v>45818</v>
      </c>
      <c r="D120">
        <f t="shared" si="10"/>
        <v>33.382</v>
      </c>
      <c r="E120">
        <v>0.033382</v>
      </c>
      <c r="F120" s="1">
        <f t="shared" si="14"/>
        <v>0.250992481203008</v>
      </c>
      <c r="G120">
        <v>0.58</v>
      </c>
      <c r="H120" s="1">
        <f t="shared" si="17"/>
        <v>0.1936156</v>
      </c>
      <c r="I120" s="1">
        <f t="shared" si="16"/>
        <v>0.7714</v>
      </c>
    </row>
    <row r="121" spans="1:9">
      <c r="A121" t="s">
        <v>128</v>
      </c>
      <c r="B121" s="7">
        <v>14</v>
      </c>
      <c r="C121" s="8">
        <v>45818</v>
      </c>
      <c r="D121">
        <f t="shared" si="10"/>
        <v>33.031</v>
      </c>
      <c r="E121">
        <v>0.033031</v>
      </c>
      <c r="F121" s="1">
        <f t="shared" ref="F121:F141" si="18">D121/133</f>
        <v>0.248353383458647</v>
      </c>
      <c r="G121">
        <v>0.63</v>
      </c>
      <c r="H121" s="1">
        <f t="shared" si="17"/>
        <v>0.2080953</v>
      </c>
      <c r="I121" s="1">
        <f t="shared" si="16"/>
        <v>0.8379</v>
      </c>
    </row>
    <row r="122" spans="1:9">
      <c r="A122" t="s">
        <v>129</v>
      </c>
      <c r="B122" s="7">
        <v>15</v>
      </c>
      <c r="C122" s="8">
        <v>45818</v>
      </c>
      <c r="D122">
        <f t="shared" si="10"/>
        <v>33.2</v>
      </c>
      <c r="E122">
        <v>0.0332</v>
      </c>
      <c r="F122" s="1">
        <f t="shared" si="18"/>
        <v>0.249624060150376</v>
      </c>
      <c r="G122">
        <v>0.38</v>
      </c>
      <c r="H122" s="1">
        <f t="shared" si="17"/>
        <v>0.12616</v>
      </c>
      <c r="I122" s="1">
        <f t="shared" si="16"/>
        <v>0.5054</v>
      </c>
    </row>
    <row r="123" spans="1:9">
      <c r="A123" t="s">
        <v>130</v>
      </c>
      <c r="B123" s="7">
        <v>16</v>
      </c>
      <c r="C123" s="8">
        <v>45818</v>
      </c>
      <c r="D123">
        <f t="shared" si="10"/>
        <v>32.596</v>
      </c>
      <c r="E123">
        <v>0.032596</v>
      </c>
      <c r="F123" s="1">
        <f t="shared" si="18"/>
        <v>0.245082706766917</v>
      </c>
      <c r="G123">
        <v>0.44</v>
      </c>
      <c r="H123" s="1">
        <f t="shared" si="17"/>
        <v>0.1434224</v>
      </c>
      <c r="I123" s="1">
        <f t="shared" si="16"/>
        <v>0.5852</v>
      </c>
    </row>
    <row r="124" spans="1:9">
      <c r="A124" t="s">
        <v>131</v>
      </c>
      <c r="B124" s="7">
        <v>17</v>
      </c>
      <c r="C124" s="8">
        <v>45818</v>
      </c>
      <c r="D124">
        <f t="shared" si="10"/>
        <v>34.729</v>
      </c>
      <c r="E124">
        <v>0.034729</v>
      </c>
      <c r="F124" s="1">
        <f t="shared" si="18"/>
        <v>0.26112030075188</v>
      </c>
      <c r="G124">
        <v>0.36</v>
      </c>
      <c r="H124" s="1">
        <f t="shared" si="17"/>
        <v>0.1250244</v>
      </c>
      <c r="I124" s="1">
        <f t="shared" si="16"/>
        <v>0.4788</v>
      </c>
    </row>
    <row r="125" spans="1:9">
      <c r="A125" t="s">
        <v>132</v>
      </c>
      <c r="B125" s="7">
        <v>18</v>
      </c>
      <c r="C125" s="8">
        <v>45818</v>
      </c>
      <c r="D125">
        <f t="shared" si="10"/>
        <v>32.624</v>
      </c>
      <c r="E125">
        <v>0.032624</v>
      </c>
      <c r="F125" s="1">
        <f t="shared" si="18"/>
        <v>0.245293233082707</v>
      </c>
      <c r="G125">
        <v>0.66</v>
      </c>
      <c r="H125" s="1">
        <f t="shared" si="17"/>
        <v>0.2153184</v>
      </c>
      <c r="I125" s="1">
        <f t="shared" si="16"/>
        <v>0.8778</v>
      </c>
    </row>
    <row r="126" spans="1:9">
      <c r="A126" t="s">
        <v>133</v>
      </c>
      <c r="B126" s="7">
        <v>19</v>
      </c>
      <c r="C126" s="8">
        <v>45818</v>
      </c>
      <c r="D126">
        <f t="shared" si="10"/>
        <v>36.61</v>
      </c>
      <c r="E126">
        <v>0.03661</v>
      </c>
      <c r="F126" s="1">
        <f t="shared" si="18"/>
        <v>0.275263157894737</v>
      </c>
      <c r="G126" s="9">
        <v>0.78</v>
      </c>
      <c r="H126" s="1">
        <f t="shared" si="17"/>
        <v>0.285558</v>
      </c>
      <c r="I126" s="1">
        <f t="shared" si="16"/>
        <v>1.0374</v>
      </c>
    </row>
    <row r="127" spans="1:9">
      <c r="A127" t="s">
        <v>134</v>
      </c>
      <c r="B127" s="7">
        <v>20</v>
      </c>
      <c r="C127" s="8">
        <v>45818</v>
      </c>
      <c r="D127">
        <f t="shared" si="10"/>
        <v>32.667</v>
      </c>
      <c r="E127">
        <v>0.032667</v>
      </c>
      <c r="F127" s="1">
        <f t="shared" si="18"/>
        <v>0.245616541353383</v>
      </c>
      <c r="G127">
        <v>0.69</v>
      </c>
      <c r="H127" s="1">
        <f t="shared" si="17"/>
        <v>0.2254023</v>
      </c>
      <c r="I127" s="1">
        <f t="shared" si="16"/>
        <v>0.9177</v>
      </c>
    </row>
    <row r="128" spans="1:9">
      <c r="A128" t="s">
        <v>135</v>
      </c>
      <c r="B128" s="7">
        <v>21</v>
      </c>
      <c r="C128" s="8">
        <v>45818</v>
      </c>
      <c r="D128">
        <f t="shared" si="10"/>
        <v>34.33</v>
      </c>
      <c r="E128">
        <v>0.03433</v>
      </c>
      <c r="F128" s="1">
        <f t="shared" si="18"/>
        <v>0.25812030075188</v>
      </c>
      <c r="G128">
        <v>0.4</v>
      </c>
      <c r="H128" s="1">
        <f t="shared" si="17"/>
        <v>0.13732</v>
      </c>
      <c r="I128" s="1">
        <f t="shared" si="16"/>
        <v>0.532</v>
      </c>
    </row>
    <row r="129" spans="1:9">
      <c r="A129" t="s">
        <v>136</v>
      </c>
      <c r="B129" s="7">
        <v>22</v>
      </c>
      <c r="C129" s="8">
        <v>45818</v>
      </c>
      <c r="D129">
        <f t="shared" si="10"/>
        <v>33.395</v>
      </c>
      <c r="E129">
        <v>0.033395</v>
      </c>
      <c r="F129" s="1">
        <f t="shared" si="18"/>
        <v>0.25109022556391</v>
      </c>
      <c r="G129">
        <v>0.6</v>
      </c>
      <c r="H129" s="1">
        <f t="shared" si="17"/>
        <v>0.20037</v>
      </c>
      <c r="I129" s="1">
        <f t="shared" si="16"/>
        <v>0.798</v>
      </c>
    </row>
    <row r="130" spans="1:9">
      <c r="A130" t="s">
        <v>137</v>
      </c>
      <c r="B130" s="7">
        <v>23</v>
      </c>
      <c r="C130" s="8">
        <v>45818</v>
      </c>
      <c r="D130">
        <f t="shared" si="10"/>
        <v>33.815</v>
      </c>
      <c r="E130">
        <v>0.033815</v>
      </c>
      <c r="F130" s="1">
        <f t="shared" si="18"/>
        <v>0.254248120300752</v>
      </c>
      <c r="G130">
        <v>0.6</v>
      </c>
      <c r="H130" s="1">
        <f t="shared" si="17"/>
        <v>0.20289</v>
      </c>
      <c r="I130" s="1">
        <f t="shared" si="16"/>
        <v>0.798</v>
      </c>
    </row>
    <row r="131" spans="1:9">
      <c r="A131" t="s">
        <v>138</v>
      </c>
      <c r="B131" s="7">
        <v>24</v>
      </c>
      <c r="C131" s="8">
        <v>45818</v>
      </c>
      <c r="D131">
        <f t="shared" si="10"/>
        <v>35.356</v>
      </c>
      <c r="E131">
        <v>0.035356</v>
      </c>
      <c r="F131" s="1">
        <f t="shared" si="18"/>
        <v>0.265834586466165</v>
      </c>
      <c r="G131">
        <v>0.55</v>
      </c>
      <c r="H131" s="1">
        <f t="shared" si="17"/>
        <v>0.194458</v>
      </c>
      <c r="I131" s="1">
        <f t="shared" si="16"/>
        <v>0.7315</v>
      </c>
    </row>
    <row r="132" spans="1:9">
      <c r="A132" t="s">
        <v>139</v>
      </c>
      <c r="B132" s="7">
        <v>25</v>
      </c>
      <c r="C132" s="8">
        <v>45818</v>
      </c>
      <c r="D132">
        <f t="shared" si="10"/>
        <v>35.717</v>
      </c>
      <c r="E132">
        <v>0.035717</v>
      </c>
      <c r="F132" s="1">
        <f t="shared" si="18"/>
        <v>0.268548872180451</v>
      </c>
      <c r="G132" s="9">
        <v>0.35</v>
      </c>
      <c r="H132" s="1">
        <f t="shared" si="17"/>
        <v>0.1250095</v>
      </c>
      <c r="I132" s="1">
        <f t="shared" si="16"/>
        <v>0.4655</v>
      </c>
    </row>
    <row r="133" spans="1:9">
      <c r="A133" t="s">
        <v>140</v>
      </c>
      <c r="B133" s="7">
        <v>26</v>
      </c>
      <c r="C133" s="8">
        <v>45818</v>
      </c>
      <c r="D133">
        <f t="shared" si="10"/>
        <v>33.701</v>
      </c>
      <c r="E133">
        <v>0.033701</v>
      </c>
      <c r="F133" s="1">
        <f t="shared" si="18"/>
        <v>0.253390977443609</v>
      </c>
      <c r="G133" s="9">
        <v>0.49</v>
      </c>
      <c r="H133" s="1">
        <f t="shared" si="17"/>
        <v>0.1651349</v>
      </c>
      <c r="I133" s="1">
        <f t="shared" si="16"/>
        <v>0.6517</v>
      </c>
    </row>
    <row r="134" spans="1:9">
      <c r="A134" t="s">
        <v>141</v>
      </c>
      <c r="B134" s="7">
        <v>27</v>
      </c>
      <c r="C134" s="8">
        <v>45818</v>
      </c>
      <c r="D134">
        <f t="shared" si="10"/>
        <v>35.56</v>
      </c>
      <c r="E134">
        <v>0.03556</v>
      </c>
      <c r="F134" s="1">
        <f t="shared" si="18"/>
        <v>0.267368421052632</v>
      </c>
      <c r="G134">
        <v>0.8</v>
      </c>
      <c r="H134" s="1">
        <f t="shared" ref="H134:H141" si="19">G134%*D134</f>
        <v>0.28448</v>
      </c>
      <c r="I134" s="1">
        <f t="shared" si="16"/>
        <v>1.064</v>
      </c>
    </row>
    <row r="135" spans="1:9">
      <c r="A135" t="s">
        <v>142</v>
      </c>
      <c r="B135" s="7">
        <v>28</v>
      </c>
      <c r="C135" s="8">
        <v>45818</v>
      </c>
      <c r="D135">
        <f t="shared" si="10"/>
        <v>33.56</v>
      </c>
      <c r="E135">
        <v>0.03356</v>
      </c>
      <c r="F135" s="1">
        <f t="shared" si="18"/>
        <v>0.252330827067669</v>
      </c>
      <c r="G135">
        <v>0.63</v>
      </c>
      <c r="H135" s="1">
        <f t="shared" si="19"/>
        <v>0.211428</v>
      </c>
      <c r="I135" s="1">
        <f t="shared" si="16"/>
        <v>0.8379</v>
      </c>
    </row>
    <row r="136" spans="1:9">
      <c r="A136" t="s">
        <v>143</v>
      </c>
      <c r="B136" s="7">
        <v>29</v>
      </c>
      <c r="C136" s="8">
        <v>45818</v>
      </c>
      <c r="D136">
        <f t="shared" ref="D136:D141" si="20">E136*1000</f>
        <v>33.036</v>
      </c>
      <c r="E136">
        <v>0.033036</v>
      </c>
      <c r="F136" s="1">
        <f t="shared" si="18"/>
        <v>0.248390977443609</v>
      </c>
      <c r="G136" s="9">
        <v>0.47</v>
      </c>
      <c r="H136" s="1">
        <f t="shared" si="19"/>
        <v>0.1552692</v>
      </c>
      <c r="I136" s="1">
        <f>H136/F136</f>
        <v>0.6251</v>
      </c>
    </row>
    <row r="137" spans="1:9">
      <c r="A137" t="s">
        <v>144</v>
      </c>
      <c r="B137" s="7">
        <v>30</v>
      </c>
      <c r="C137" s="8">
        <v>45818</v>
      </c>
      <c r="D137">
        <f t="shared" si="20"/>
        <v>34.665</v>
      </c>
      <c r="E137">
        <v>0.034665</v>
      </c>
      <c r="F137" s="1">
        <f t="shared" si="18"/>
        <v>0.260639097744361</v>
      </c>
      <c r="G137" s="9">
        <v>0.73</v>
      </c>
      <c r="H137" s="1">
        <f t="shared" si="19"/>
        <v>0.2530545</v>
      </c>
      <c r="I137" s="1">
        <f>H137/F137</f>
        <v>0.9709</v>
      </c>
    </row>
    <row r="138" spans="1:9">
      <c r="A138" t="s">
        <v>145</v>
      </c>
      <c r="B138" s="7">
        <v>31</v>
      </c>
      <c r="C138" s="8">
        <v>45818</v>
      </c>
      <c r="D138">
        <f t="shared" si="20"/>
        <v>34.045</v>
      </c>
      <c r="E138">
        <v>0.034045</v>
      </c>
      <c r="F138" s="1">
        <f t="shared" si="18"/>
        <v>0.255977443609023</v>
      </c>
      <c r="G138" s="9">
        <v>0.27</v>
      </c>
      <c r="H138" s="1">
        <f t="shared" si="19"/>
        <v>0.0919215</v>
      </c>
      <c r="I138" s="1">
        <f>H138/F138</f>
        <v>0.3591</v>
      </c>
    </row>
    <row r="139" spans="1:9">
      <c r="A139" t="s">
        <v>146</v>
      </c>
      <c r="B139" s="7">
        <v>32</v>
      </c>
      <c r="C139" s="8">
        <v>45818</v>
      </c>
      <c r="D139">
        <f t="shared" si="20"/>
        <v>35.52</v>
      </c>
      <c r="E139">
        <v>0.03552</v>
      </c>
      <c r="F139" s="1">
        <f t="shared" si="18"/>
        <v>0.267067669172932</v>
      </c>
      <c r="G139">
        <v>0.59</v>
      </c>
      <c r="H139" s="1">
        <f t="shared" si="19"/>
        <v>0.209568</v>
      </c>
      <c r="I139" s="1">
        <f>H139/F139</f>
        <v>0.7847</v>
      </c>
    </row>
    <row r="140" spans="1:9">
      <c r="A140" t="s">
        <v>147</v>
      </c>
      <c r="B140" s="7">
        <v>33</v>
      </c>
      <c r="C140" s="8">
        <v>45818</v>
      </c>
      <c r="D140">
        <f t="shared" si="20"/>
        <v>31.529</v>
      </c>
      <c r="E140">
        <v>0.031529</v>
      </c>
      <c r="F140" s="1">
        <f t="shared" si="18"/>
        <v>0.23706015037594</v>
      </c>
      <c r="G140" s="9">
        <v>0.45</v>
      </c>
      <c r="H140" s="1">
        <f t="shared" si="19"/>
        <v>0.1418805</v>
      </c>
      <c r="I140" s="1">
        <f>H140/F140</f>
        <v>0.5985</v>
      </c>
    </row>
    <row r="141" spans="1:9">
      <c r="A141" t="s">
        <v>148</v>
      </c>
      <c r="B141" s="7">
        <v>34</v>
      </c>
      <c r="C141" s="8">
        <v>45818</v>
      </c>
      <c r="D141">
        <f t="shared" si="20"/>
        <v>33.297</v>
      </c>
      <c r="E141">
        <v>0.033297</v>
      </c>
      <c r="F141" s="1">
        <f t="shared" si="18"/>
        <v>0.250353383458647</v>
      </c>
      <c r="G141">
        <v>0.72</v>
      </c>
      <c r="H141" s="1">
        <f t="shared" si="19"/>
        <v>0.2397384</v>
      </c>
      <c r="I141" s="1">
        <f>H141/F141</f>
        <v>0.9576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nixl</dc:creator>
  <cp:lastModifiedBy>nixl</cp:lastModifiedBy>
  <dcterms:created xsi:type="dcterms:W3CDTF">2026-07-06T22:57:00Z</dcterms:created>
  <dcterms:modified xsi:type="dcterms:W3CDTF">2026-07-08T15:20:51Z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883F64643941AE5CA9164C6A591C6A04_41</vt:lpwstr>
  </property>
  <property fmtid="{D5CDD505-2E9C-101B-9397-08002B2CF9AE}" pid="3" name="KSOProductBuildVer">
    <vt:lpwstr>2052-12.1.23155.23155</vt:lpwstr>
  </property>
</Properties>
</file>