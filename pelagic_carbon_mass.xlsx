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<sst xmlns="http://schemas.openxmlformats.org/spreadsheetml/2006/main" count="153" uniqueCount="153">
  <si>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sample_name</t>
  </si>
  <si>
    <t>mesocosm</t>
  </si>
  <si>
    <t>date</t>
  </si>
  <si>
    <t>mass (mg)</t>
  </si>
  <si>
    <t>mass (g)</t>
  </si>
  <si>
    <t>Sample proportion</t>
  </si>
  <si>
    <t>carbon (%)</t>
  </si>
  <si>
    <t>mass of organic carbon in samples(mg)</t>
  </si>
  <si>
    <t>mass of organic carbon in whole filters(mg)</t>
  </si>
  <si>
    <t>P_TC_1</t>
  </si>
  <si>
    <t>P_TC_2</t>
  </si>
  <si>
    <t>P_TC_3</t>
  </si>
  <si>
    <t>P_TC_4</t>
  </si>
  <si>
    <t>P_TC_5</t>
  </si>
  <si>
    <t>P_TC_6</t>
  </si>
  <si>
    <t>P_TC_7</t>
  </si>
  <si>
    <t>P_TC_8</t>
  </si>
  <si>
    <t>P_TC_9</t>
  </si>
  <si>
    <t>P_TC_10</t>
  </si>
  <si>
    <t>P_TC_11</t>
  </si>
  <si>
    <t>P_TC_12</t>
  </si>
  <si>
    <t>P_TC_13</t>
  </si>
  <si>
    <t>P_TC_14</t>
  </si>
  <si>
    <t>P_TC_15</t>
  </si>
  <si>
    <t>P_TC_16</t>
  </si>
  <si>
    <t>P_TC_17</t>
  </si>
  <si>
    <t>P_TC_18</t>
  </si>
  <si>
    <t>P_TC_19</t>
  </si>
  <si>
    <t>P_TC_20</t>
  </si>
  <si>
    <t>P_TC_21</t>
  </si>
  <si>
    <t>P_TC_22</t>
  </si>
  <si>
    <t>P_TC_23</t>
  </si>
  <si>
    <t>P_TC_24</t>
  </si>
  <si>
    <t>P_TC_25</t>
  </si>
  <si>
    <t>P_TC_26</t>
  </si>
  <si>
    <t>P_TC_27</t>
  </si>
  <si>
    <t>P_TC_28</t>
  </si>
  <si>
    <t>P_TC_29</t>
  </si>
  <si>
    <t>P_TC_30</t>
  </si>
  <si>
    <t>P_TC_31</t>
  </si>
  <si>
    <t>P_TC_32</t>
  </si>
  <si>
    <t>P_TC_33</t>
  </si>
  <si>
    <t>P_TC_34</t>
  </si>
  <si>
    <t>P_TC_35</t>
  </si>
  <si>
    <t>P_TC_36</t>
  </si>
  <si>
    <t>P_TC_37</t>
  </si>
  <si>
    <t>P_TC_38</t>
  </si>
  <si>
    <t>P_TC_39</t>
  </si>
  <si>
    <t>P_TC_40</t>
  </si>
  <si>
    <t>P_TC_41</t>
  </si>
  <si>
    <t>P_TC_42</t>
  </si>
  <si>
    <t>P_TC_43</t>
  </si>
  <si>
    <t>P_TC_44</t>
  </si>
  <si>
    <t>P_TC_45</t>
  </si>
  <si>
    <t>P_TC_46</t>
  </si>
  <si>
    <t>P_TC_47</t>
  </si>
  <si>
    <t>P_TC_48</t>
  </si>
  <si>
    <t>P_TC_49</t>
  </si>
  <si>
    <t>P_TC_50</t>
  </si>
  <si>
    <t>P_TC_51</t>
  </si>
  <si>
    <t>P_TC_52</t>
  </si>
  <si>
    <t>P_TC_53</t>
  </si>
  <si>
    <t>P_TC_54</t>
  </si>
  <si>
    <t>P_TC_55</t>
  </si>
  <si>
    <t>P_TC_56</t>
  </si>
  <si>
    <t>P_TC_57</t>
  </si>
  <si>
    <t>P_TC_58</t>
  </si>
  <si>
    <t>P_TC_59</t>
  </si>
  <si>
    <t>P_TC_60</t>
  </si>
  <si>
    <t>P_TC_61</t>
  </si>
  <si>
    <t>P_TC_62</t>
  </si>
  <si>
    <t>P_TC_63</t>
  </si>
  <si>
    <t>P_TC_64</t>
  </si>
  <si>
    <t>P_TC_65</t>
  </si>
  <si>
    <t>P_TC_66</t>
  </si>
  <si>
    <t>P_TC_67</t>
  </si>
  <si>
    <t>P_TC_68</t>
  </si>
  <si>
    <t>P_TC_69</t>
  </si>
  <si>
    <t>P_TC_70</t>
  </si>
  <si>
    <t>P_TC_71</t>
  </si>
  <si>
    <t>P_TC_72</t>
  </si>
  <si>
    <t>P_POC_1</t>
  </si>
  <si>
    <t>P_POC_2</t>
  </si>
  <si>
    <t>P_POC_3</t>
  </si>
  <si>
    <t>P_POC_4</t>
  </si>
  <si>
    <t>P_POC_5</t>
  </si>
  <si>
    <t>P_POC_6</t>
  </si>
  <si>
    <t>P_POC_7</t>
  </si>
  <si>
    <t>P_POC_8</t>
  </si>
  <si>
    <t>P_POC_9</t>
  </si>
  <si>
    <t>P_POC_10</t>
  </si>
  <si>
    <t>P_POC_11</t>
  </si>
  <si>
    <t>P_POC_12</t>
  </si>
  <si>
    <t>P_POC_13</t>
  </si>
  <si>
    <t>P_POC_14</t>
  </si>
  <si>
    <t>P_POC_15</t>
  </si>
  <si>
    <t>P_POC_16</t>
  </si>
  <si>
    <t>P_POC_17</t>
  </si>
  <si>
    <t>P_POC_18</t>
  </si>
  <si>
    <t>P_POC_19</t>
  </si>
  <si>
    <t>P_POC_20</t>
  </si>
  <si>
    <t>P_POC_21</t>
  </si>
  <si>
    <t>P_POC_22</t>
  </si>
  <si>
    <t>P_POC_23</t>
  </si>
  <si>
    <t>P_POC_24</t>
  </si>
  <si>
    <t>P_POC_25</t>
  </si>
  <si>
    <t>P_POC_26</t>
  </si>
  <si>
    <t>P_POC_27</t>
  </si>
  <si>
    <t>P_POC_28</t>
  </si>
  <si>
    <t>P_POC_29</t>
  </si>
  <si>
    <t>P_POC_30</t>
  </si>
  <si>
    <t>P_POC_31</t>
  </si>
  <si>
    <t>P_POC_32</t>
  </si>
  <si>
    <t>P_POC_33</t>
  </si>
  <si>
    <t>P_POC_34</t>
  </si>
  <si>
    <t>P_POC_35</t>
  </si>
  <si>
    <t>P_POC_36</t>
  </si>
  <si>
    <t>P_POC_37</t>
  </si>
  <si>
    <t>P_POC_38</t>
  </si>
  <si>
    <t>P_POC_39</t>
  </si>
  <si>
    <t>P_POC_40</t>
  </si>
  <si>
    <t>P_POC_41</t>
  </si>
  <si>
    <t>P_POC_42</t>
  </si>
  <si>
    <t>P_POC_43</t>
  </si>
  <si>
    <t>P_POC_44</t>
  </si>
  <si>
    <t>P_POC_45</t>
  </si>
  <si>
    <t>P_POC_46</t>
  </si>
  <si>
    <t>P_POC_47</t>
  </si>
  <si>
    <t>P_POC_48</t>
  </si>
  <si>
    <t>P_POC_49</t>
  </si>
  <si>
    <t>P_POC_50</t>
  </si>
  <si>
    <t>P_POC_51</t>
  </si>
  <si>
    <t>P_POC_52</t>
  </si>
  <si>
    <t>P_POC_53</t>
  </si>
  <si>
    <t>P_POC_54</t>
  </si>
  <si>
    <t>P_POC_55</t>
  </si>
  <si>
    <t>P_POC_56</t>
  </si>
  <si>
    <t>P_POC_57</t>
  </si>
  <si>
    <t>P_POC_58</t>
  </si>
  <si>
    <t>P_POC_59</t>
  </si>
  <si>
    <t>P_POC_60</t>
  </si>
  <si>
    <t>P_POC_61</t>
  </si>
  <si>
    <t>P_POC_62</t>
  </si>
  <si>
    <t>P_POC_63</t>
  </si>
  <si>
    <t>P_POC_64</t>
  </si>
  <si>
    <t>P_POC_65</t>
  </si>
  <si>
    <t>P_POC_66</t>
  </si>
  <si>
    <t>P_POC_67</t>
  </si>
  <si>
    <t>P_POC_68</t>
  </si>
  <si>
    <t>P_POC_69</t>
  </si>
  <si>
    <t>P_POC_70</t>
  </si>
  <si>
    <t>P_POC_71</t>
  </si>
  <si>
    <t>P_POC_72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</si>
</sst>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tabSelected="1" topLeftCell="A81" workbookViewId="0">
      <selection activeCell="G92" sqref="G92"/>
    </sheetView>
  </sheetViews>
  <sheetFormatPr defaultColWidth="9.23076923076923" defaultRowHeight="16.8"/>
  <cols>
    <col min="1" max="1" width="16.5" customWidth="1"/>
    <col min="2" max="2" width="10.4230769230769" customWidth="1"/>
    <col min="3" max="3" width="15.2211538461538" customWidth="1"/>
    <col min="4" max="4" width="12.9230769230769"/>
    <col min="5" max="5" width="9.69230769230769"/>
    <col min="6" max="6" width="18.5865384615385" customWidth="1"/>
    <col min="7" max="7" width="12.3365384615385" customWidth="1"/>
    <col min="8" max="8" width="34.9326923076923" customWidth="1"/>
    <col min="9" max="9" width="38.6153846153846" customWidth="1"/>
  </cols>
  <sheetData>
    <row r="1" spans="1: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1</v>
      </c>
      <c r="C2" s="3">
        <v>45799</v>
      </c>
      <c r="D2" s="2">
        <f t="shared" ref="D2:D13" si="0">E2*1000</f>
        <v>35.025</v>
      </c>
      <c r="E2" s="1">
        <v>0.035025</v>
      </c>
      <c r="F2" s="1">
        <f>D2/133</f>
        <v>0.263345864661654</v>
      </c>
      <c r="G2" s="1">
        <v>0.66</v>
      </c>
      <c r="H2" s="1">
        <f>G2%*D2</f>
        <v>0.231165</v>
      </c>
      <c r="I2" s="1">
        <f>H2/F2</f>
        <v>0.8778</v>
      </c>
    </row>
    <row r="3" spans="1:9">
      <c r="A3" s="1" t="s">
        <v>10</v>
      </c>
      <c r="B3" s="2">
        <v>2</v>
      </c>
      <c r="C3" s="3">
        <v>45799</v>
      </c>
      <c r="D3" s="2">
        <f t="shared" si="0"/>
        <v>29.099</v>
      </c>
      <c r="E3" s="1">
        <v>0.029099</v>
      </c>
      <c r="F3" s="1">
        <f>D3/133</f>
        <v>0.218789473684211</v>
      </c>
      <c r="G3" s="1">
        <v>0.58</v>
      </c>
      <c r="H3" s="1">
        <f>G3%*D3</f>
        <v>0.1687742</v>
      </c>
      <c r="I3" s="1">
        <f>H3/F3</f>
        <v>0.7714</v>
      </c>
    </row>
    <row r="4" spans="1:9">
      <c r="A4" s="1" t="s">
        <v>11</v>
      </c>
      <c r="B4" s="2">
        <v>3</v>
      </c>
      <c r="C4" s="3">
        <v>45799</v>
      </c>
      <c r="D4" s="2">
        <f t="shared" si="0"/>
        <v>29.722</v>
      </c>
      <c r="E4" s="1">
        <v>0.029722</v>
      </c>
      <c r="F4" s="1">
        <f>D4/133</f>
        <v>0.223473684210526</v>
      </c>
      <c r="G4" s="1">
        <v>0.24</v>
      </c>
      <c r="H4" s="1">
        <f>G4%*D4</f>
        <v>0.0713328</v>
      </c>
      <c r="I4" s="1">
        <f>H4/F4</f>
        <v>0.3192</v>
      </c>
    </row>
    <row r="5" spans="1:9">
      <c r="A5" s="1" t="s">
        <v>12</v>
      </c>
      <c r="B5" s="2">
        <v>4</v>
      </c>
      <c r="C5" s="3">
        <v>45799</v>
      </c>
      <c r="D5" s="2">
        <f t="shared" si="0"/>
        <v>31.825</v>
      </c>
      <c r="E5" s="1">
        <v>0.031825</v>
      </c>
      <c r="F5" s="1">
        <f>D5/133</f>
        <v>0.239285714285714</v>
      </c>
      <c r="G5" s="1">
        <v>0.3</v>
      </c>
      <c r="H5" s="1">
        <f>G5%*D5</f>
        <v>0.095475</v>
      </c>
      <c r="I5" s="1">
        <f>H5/F5</f>
        <v>0.399</v>
      </c>
    </row>
    <row r="6" spans="1:9">
      <c r="A6" s="1" t="s">
        <v>13</v>
      </c>
      <c r="B6" s="2">
        <v>5</v>
      </c>
      <c r="C6" s="3">
        <v>45799</v>
      </c>
      <c r="D6" s="2">
        <f t="shared" si="0"/>
        <v>31.632</v>
      </c>
      <c r="E6" s="1">
        <v>0.031632</v>
      </c>
      <c r="F6" s="1">
        <f t="shared" ref="F6:F15" si="1">D6/133</f>
        <v>0.237834586466165</v>
      </c>
      <c r="G6" s="1">
        <v>0.25</v>
      </c>
      <c r="H6" s="1">
        <f t="shared" ref="H6:H13" si="2">G6%*D6</f>
        <v>0.07908</v>
      </c>
      <c r="I6" s="1">
        <f t="shared" ref="I6:I37" si="3">H6/F6</f>
        <v>0.3325</v>
      </c>
    </row>
    <row r="7" spans="1:9">
      <c r="A7" s="1" t="s">
        <v>14</v>
      </c>
      <c r="B7" s="2">
        <v>6</v>
      </c>
      <c r="C7" s="3">
        <v>45799</v>
      </c>
      <c r="D7" s="2">
        <f t="shared" si="0"/>
        <v>34.676</v>
      </c>
      <c r="E7" s="1">
        <v>0.034676</v>
      </c>
      <c r="F7" s="1">
        <f t="shared" si="1"/>
        <v>0.260721804511278</v>
      </c>
      <c r="G7" s="1">
        <v>0.36</v>
      </c>
      <c r="H7" s="1">
        <f t="shared" si="2"/>
        <v>0.1248336</v>
      </c>
      <c r="I7" s="1">
        <f t="shared" si="3"/>
        <v>0.4788</v>
      </c>
    </row>
    <row r="8" spans="1:9">
      <c r="A8" s="1" t="s">
        <v>15</v>
      </c>
      <c r="B8" s="2">
        <v>7</v>
      </c>
      <c r="C8" s="3">
        <v>45799</v>
      </c>
      <c r="D8" s="2">
        <f t="shared" si="0"/>
        <v>28.065</v>
      </c>
      <c r="E8" s="1">
        <v>0.028065</v>
      </c>
      <c r="F8" s="1">
        <f t="shared" si="1"/>
        <v>0.211015037593985</v>
      </c>
      <c r="G8" s="1">
        <v>0.33</v>
      </c>
      <c r="H8" s="1">
        <f t="shared" si="2"/>
        <v>0.0926145</v>
      </c>
      <c r="I8" s="1">
        <f t="shared" si="3"/>
        <v>0.4389</v>
      </c>
    </row>
    <row r="9" spans="1:9">
      <c r="A9" s="1" t="s">
        <v>16</v>
      </c>
      <c r="B9" s="2">
        <v>8</v>
      </c>
      <c r="C9" s="3">
        <v>45799</v>
      </c>
      <c r="D9" s="2">
        <f t="shared" si="0"/>
        <v>33.953</v>
      </c>
      <c r="E9" s="1">
        <v>0.033953</v>
      </c>
      <c r="F9" s="1">
        <f t="shared" si="1"/>
        <v>0.255285714285714</v>
      </c>
      <c r="G9" s="1">
        <v>0.28</v>
      </c>
      <c r="H9" s="1">
        <f t="shared" si="2"/>
        <v>0.0950684</v>
      </c>
      <c r="I9" s="1">
        <f t="shared" si="3"/>
        <v>0.3724</v>
      </c>
    </row>
    <row r="10" spans="1:9">
      <c r="A10" s="1" t="s">
        <v>17</v>
      </c>
      <c r="B10" s="2">
        <v>9</v>
      </c>
      <c r="C10" s="3">
        <v>45799</v>
      </c>
      <c r="D10" s="2">
        <f t="shared" si="0"/>
        <v>31.383</v>
      </c>
      <c r="E10" s="1">
        <v>0.031383</v>
      </c>
      <c r="F10" s="1">
        <f t="shared" si="1"/>
        <v>0.235962406015038</v>
      </c>
      <c r="G10" s="1">
        <v>0.36</v>
      </c>
      <c r="H10" s="1">
        <f t="shared" si="2"/>
        <v>0.1129788</v>
      </c>
      <c r="I10" s="1">
        <f t="shared" si="3"/>
        <v>0.4788</v>
      </c>
    </row>
    <row r="11" spans="1:9">
      <c r="A11" s="1" t="s">
        <v>18</v>
      </c>
      <c r="B11" s="2">
        <v>10</v>
      </c>
      <c r="C11" s="3">
        <v>45799</v>
      </c>
      <c r="D11" s="2">
        <f t="shared" si="0"/>
        <v>34.45</v>
      </c>
      <c r="E11" s="1">
        <v>0.03445</v>
      </c>
      <c r="F11" s="1">
        <f t="shared" si="1"/>
        <v>0.259022556390977</v>
      </c>
      <c r="G11" s="1">
        <v>0.27</v>
      </c>
      <c r="H11" s="1">
        <f t="shared" si="2"/>
        <v>0.093015</v>
      </c>
      <c r="I11" s="1">
        <f t="shared" si="3"/>
        <v>0.3591</v>
      </c>
    </row>
    <row r="12" spans="1:9">
      <c r="A12" s="1" t="s">
        <v>19</v>
      </c>
      <c r="B12" s="2">
        <v>11</v>
      </c>
      <c r="C12" s="3">
        <v>45799</v>
      </c>
      <c r="D12" s="2">
        <f t="shared" si="0"/>
        <v>32.113</v>
      </c>
      <c r="E12" s="1">
        <v>0.032113</v>
      </c>
      <c r="F12" s="1">
        <f t="shared" si="1"/>
        <v>0.241451127819549</v>
      </c>
      <c r="G12" s="1">
        <v>0.27</v>
      </c>
      <c r="H12" s="1">
        <f t="shared" si="2"/>
        <v>0.0867051</v>
      </c>
      <c r="I12" s="1">
        <f t="shared" si="3"/>
        <v>0.3591</v>
      </c>
    </row>
    <row r="13" spans="1:9">
      <c r="A13" s="1" t="s">
        <v>20</v>
      </c>
      <c r="B13" s="2">
        <v>12</v>
      </c>
      <c r="C13" s="3">
        <v>45799</v>
      </c>
      <c r="D13" s="2">
        <f t="shared" si="0"/>
        <v>33.032</v>
      </c>
      <c r="E13" s="1">
        <v>0.033032</v>
      </c>
      <c r="F13" s="1">
        <f t="shared" si="1"/>
        <v>0.248360902255639</v>
      </c>
      <c r="G13" s="1">
        <v>0.44</v>
      </c>
      <c r="H13" s="1">
        <f t="shared" si="2"/>
        <v>0.1453408</v>
      </c>
      <c r="I13" s="1">
        <f t="shared" si="3"/>
        <v>0.5852</v>
      </c>
    </row>
    <row r="14" spans="1:9">
      <c r="A14" s="1" t="s">
        <v>21</v>
      </c>
      <c r="B14" s="2">
        <v>13</v>
      </c>
      <c r="C14" s="3">
        <v>45799</v>
      </c>
      <c r="D14" s="2">
        <f t="shared" ref="D14:D77" si="4">E14*1000</f>
        <v>31.333</v>
      </c>
      <c r="E14" s="1">
        <v>0.031333</v>
      </c>
      <c r="F14" s="1">
        <f t="shared" si="1"/>
        <v>0.235586466165414</v>
      </c>
      <c r="G14" s="1">
        <v>0.27</v>
      </c>
      <c r="H14" s="1">
        <f t="shared" ref="H14:H45" si="5">G14%*D14</f>
        <v>0.0845991</v>
      </c>
      <c r="I14" s="1">
        <f t="shared" si="3"/>
        <v>0.3591</v>
      </c>
    </row>
    <row r="15" spans="1:9">
      <c r="A15" s="1" t="s">
        <v>22</v>
      </c>
      <c r="B15" s="2">
        <v>14</v>
      </c>
      <c r="C15" s="3">
        <v>45799</v>
      </c>
      <c r="D15" s="2">
        <f t="shared" si="4"/>
        <v>31.948</v>
      </c>
      <c r="E15" s="1">
        <v>0.031948</v>
      </c>
      <c r="F15" s="1">
        <f t="shared" ref="F15:F37" si="6">D15/133</f>
        <v>0.240210526315789</v>
      </c>
      <c r="G15" s="1">
        <v>0.35</v>
      </c>
      <c r="H15" s="1">
        <f t="shared" si="5"/>
        <v>0.111818</v>
      </c>
      <c r="I15" s="1">
        <f t="shared" si="3"/>
        <v>0.4655</v>
      </c>
    </row>
    <row r="16" spans="1:9">
      <c r="A16" s="1" t="s">
        <v>23</v>
      </c>
      <c r="B16" s="2">
        <v>15</v>
      </c>
      <c r="C16" s="3">
        <v>45799</v>
      </c>
      <c r="D16" s="2">
        <f t="shared" si="4"/>
        <v>33.068</v>
      </c>
      <c r="E16" s="1">
        <v>0.033068</v>
      </c>
      <c r="F16" s="1">
        <f t="shared" si="6"/>
        <v>0.248631578947368</v>
      </c>
      <c r="G16" s="1">
        <v>0.36</v>
      </c>
      <c r="H16" s="1">
        <f t="shared" si="5"/>
        <v>0.1190448</v>
      </c>
      <c r="I16" s="1">
        <f t="shared" si="3"/>
        <v>0.4788</v>
      </c>
    </row>
    <row r="17" spans="1:9">
      <c r="A17" s="1" t="s">
        <v>24</v>
      </c>
      <c r="B17" s="2">
        <v>16</v>
      </c>
      <c r="C17" s="3">
        <v>45799</v>
      </c>
      <c r="D17" s="2">
        <f t="shared" si="4"/>
        <v>31.649</v>
      </c>
      <c r="E17" s="1">
        <v>0.031649</v>
      </c>
      <c r="F17" s="1">
        <f t="shared" si="6"/>
        <v>0.237962406015038</v>
      </c>
      <c r="G17" s="1">
        <v>0.28</v>
      </c>
      <c r="H17" s="1">
        <f t="shared" si="5"/>
        <v>0.0886172</v>
      </c>
      <c r="I17" s="1">
        <f t="shared" si="3"/>
        <v>0.3724</v>
      </c>
    </row>
    <row r="18" spans="1:9">
      <c r="A18" s="1" t="s">
        <v>25</v>
      </c>
      <c r="B18" s="2">
        <v>17</v>
      </c>
      <c r="C18" s="3">
        <v>45799</v>
      </c>
      <c r="D18" s="2">
        <f t="shared" si="4"/>
        <v>31.696</v>
      </c>
      <c r="E18" s="1">
        <v>0.031696</v>
      </c>
      <c r="F18" s="1">
        <f t="shared" si="6"/>
        <v>0.238315789473684</v>
      </c>
      <c r="G18" s="1">
        <v>0.36</v>
      </c>
      <c r="H18" s="1">
        <f t="shared" si="5"/>
        <v>0.1141056</v>
      </c>
      <c r="I18" s="1">
        <f t="shared" si="3"/>
        <v>0.4788</v>
      </c>
    </row>
    <row r="19" spans="1:9">
      <c r="A19" s="1" t="s">
        <v>26</v>
      </c>
      <c r="B19" s="2">
        <v>18</v>
      </c>
      <c r="C19" s="3">
        <v>45799</v>
      </c>
      <c r="D19" s="2">
        <f t="shared" si="4"/>
        <v>38.607</v>
      </c>
      <c r="E19" s="1">
        <v>0.038607</v>
      </c>
      <c r="F19" s="1">
        <f t="shared" si="6"/>
        <v>0.290278195488722</v>
      </c>
      <c r="G19" s="1">
        <v>0.22</v>
      </c>
      <c r="H19" s="1">
        <f t="shared" si="5"/>
        <v>0.0849354</v>
      </c>
      <c r="I19" s="1">
        <f t="shared" si="3"/>
        <v>0.2926</v>
      </c>
    </row>
    <row r="20" spans="1:9">
      <c r="A20" s="1" t="s">
        <v>27</v>
      </c>
      <c r="B20" s="2">
        <v>19</v>
      </c>
      <c r="C20" s="3">
        <v>45799</v>
      </c>
      <c r="D20" s="2">
        <f t="shared" si="4"/>
        <v>33.89</v>
      </c>
      <c r="E20" s="1">
        <v>0.03389</v>
      </c>
      <c r="F20" s="1">
        <f t="shared" si="6"/>
        <v>0.254812030075188</v>
      </c>
      <c r="G20" s="1">
        <v>0.31</v>
      </c>
      <c r="H20" s="1">
        <f t="shared" si="5"/>
        <v>0.105059</v>
      </c>
      <c r="I20" s="1">
        <f t="shared" si="3"/>
        <v>0.4123</v>
      </c>
    </row>
    <row r="21" spans="1:9">
      <c r="A21" s="1" t="s">
        <v>28</v>
      </c>
      <c r="B21" s="2">
        <v>20</v>
      </c>
      <c r="C21" s="3">
        <v>45799</v>
      </c>
      <c r="D21" s="2">
        <f t="shared" si="4"/>
        <v>31.401</v>
      </c>
      <c r="E21" s="1">
        <v>0.031401</v>
      </c>
      <c r="F21" s="1">
        <f t="shared" si="6"/>
        <v>0.236097744360902</v>
      </c>
      <c r="G21" s="1">
        <v>0.31</v>
      </c>
      <c r="H21" s="1">
        <f t="shared" si="5"/>
        <v>0.0973431</v>
      </c>
      <c r="I21" s="1">
        <f t="shared" si="3"/>
        <v>0.4123</v>
      </c>
    </row>
    <row r="22" spans="1:9">
      <c r="A22" s="1" t="s">
        <v>29</v>
      </c>
      <c r="B22" s="2">
        <v>21</v>
      </c>
      <c r="C22" s="3">
        <v>45799</v>
      </c>
      <c r="D22" s="2">
        <f t="shared" si="4"/>
        <v>35.748</v>
      </c>
      <c r="E22" s="1">
        <v>0.035748</v>
      </c>
      <c r="F22" s="1">
        <f t="shared" si="6"/>
        <v>0.268781954887218</v>
      </c>
      <c r="G22" s="1">
        <v>0.43</v>
      </c>
      <c r="H22" s="1">
        <f t="shared" si="5"/>
        <v>0.1537164</v>
      </c>
      <c r="I22" s="1">
        <f t="shared" si="3"/>
        <v>0.5719</v>
      </c>
    </row>
    <row r="23" spans="1:9">
      <c r="A23" s="1" t="s">
        <v>30</v>
      </c>
      <c r="B23" s="2">
        <v>22</v>
      </c>
      <c r="C23" s="3">
        <v>45799</v>
      </c>
      <c r="D23" s="2">
        <f t="shared" si="4"/>
        <v>31.429</v>
      </c>
      <c r="E23" s="1">
        <v>0.031429</v>
      </c>
      <c r="F23" s="1">
        <f t="shared" si="6"/>
        <v>0.236308270676692</v>
      </c>
      <c r="G23" s="1">
        <v>0.52</v>
      </c>
      <c r="H23" s="1">
        <f t="shared" si="5"/>
        <v>0.1634308</v>
      </c>
      <c r="I23" s="1">
        <f t="shared" si="3"/>
        <v>0.6916</v>
      </c>
    </row>
    <row r="24" spans="1:9">
      <c r="A24" s="1" t="s">
        <v>31</v>
      </c>
      <c r="B24" s="2">
        <v>23</v>
      </c>
      <c r="C24" s="3">
        <v>45799</v>
      </c>
      <c r="D24" s="2">
        <f t="shared" si="4"/>
        <v>33.89</v>
      </c>
      <c r="E24" s="1">
        <v>0.03389</v>
      </c>
      <c r="F24" s="1">
        <f t="shared" si="6"/>
        <v>0.254812030075188</v>
      </c>
      <c r="G24" s="1">
        <v>0.4</v>
      </c>
      <c r="H24" s="1">
        <f t="shared" si="5"/>
        <v>0.13556</v>
      </c>
      <c r="I24" s="1">
        <f t="shared" si="3"/>
        <v>0.532</v>
      </c>
    </row>
    <row r="25" spans="1:9">
      <c r="A25" s="1" t="s">
        <v>32</v>
      </c>
      <c r="B25" s="2">
        <v>24</v>
      </c>
      <c r="C25" s="3">
        <v>45799</v>
      </c>
      <c r="D25" s="2">
        <f t="shared" si="4"/>
        <v>31.65</v>
      </c>
      <c r="E25" s="1">
        <v>0.03165</v>
      </c>
      <c r="F25" s="1">
        <f t="shared" si="6"/>
        <v>0.23796992481203</v>
      </c>
      <c r="G25" s="1">
        <v>0.71</v>
      </c>
      <c r="H25" s="1">
        <f t="shared" si="5"/>
        <v>0.224715</v>
      </c>
      <c r="I25" s="1">
        <f t="shared" si="3"/>
        <v>0.9443</v>
      </c>
    </row>
    <row r="26" spans="1:9">
      <c r="A26" s="1" t="s">
        <v>33</v>
      </c>
      <c r="B26" s="2">
        <v>25</v>
      </c>
      <c r="C26" s="3">
        <v>45799</v>
      </c>
      <c r="D26" s="2">
        <f t="shared" si="4"/>
        <v>32.206</v>
      </c>
      <c r="E26" s="1">
        <v>0.032206</v>
      </c>
      <c r="F26" s="1">
        <f t="shared" si="6"/>
        <v>0.24215037593985</v>
      </c>
      <c r="G26" s="1">
        <v>0.33</v>
      </c>
      <c r="H26" s="1">
        <f t="shared" si="5"/>
        <v>0.1062798</v>
      </c>
      <c r="I26" s="1">
        <f t="shared" si="3"/>
        <v>0.4389</v>
      </c>
    </row>
    <row r="27" spans="1:9">
      <c r="A27" s="1" t="s">
        <v>34</v>
      </c>
      <c r="B27" s="2">
        <v>26</v>
      </c>
      <c r="C27" s="3">
        <v>45799</v>
      </c>
      <c r="D27" s="2">
        <f t="shared" si="4"/>
        <v>35.657</v>
      </c>
      <c r="E27" s="1">
        <v>0.035657</v>
      </c>
      <c r="F27" s="1">
        <f t="shared" si="6"/>
        <v>0.268097744360902</v>
      </c>
      <c r="G27" s="1">
        <v>0.38</v>
      </c>
      <c r="H27" s="1">
        <f t="shared" si="5"/>
        <v>0.1354966</v>
      </c>
      <c r="I27" s="1">
        <f t="shared" si="3"/>
        <v>0.5054</v>
      </c>
    </row>
    <row r="28" spans="1:9">
      <c r="A28" s="1" t="s">
        <v>35</v>
      </c>
      <c r="B28" s="2">
        <v>27</v>
      </c>
      <c r="C28" s="3">
        <v>45799</v>
      </c>
      <c r="D28" s="2">
        <f t="shared" si="4"/>
        <v>33.376</v>
      </c>
      <c r="E28" s="1">
        <v>0.033376</v>
      </c>
      <c r="F28" s="1">
        <f t="shared" si="6"/>
        <v>0.250947368421053</v>
      </c>
      <c r="G28" s="1">
        <v>0.35</v>
      </c>
      <c r="H28" s="1">
        <f t="shared" si="5"/>
        <v>0.116816</v>
      </c>
      <c r="I28" s="1">
        <f t="shared" si="3"/>
        <v>0.4655</v>
      </c>
    </row>
    <row r="29" spans="1:9">
      <c r="A29" s="1" t="s">
        <v>36</v>
      </c>
      <c r="B29" s="2">
        <v>28</v>
      </c>
      <c r="C29" s="3">
        <v>45799</v>
      </c>
      <c r="D29" s="2">
        <f t="shared" si="4"/>
        <v>34.757</v>
      </c>
      <c r="E29" s="1">
        <v>0.034757</v>
      </c>
      <c r="F29" s="1">
        <f t="shared" si="6"/>
        <v>0.261330827067669</v>
      </c>
      <c r="G29" s="1">
        <v>0.36</v>
      </c>
      <c r="H29" s="1">
        <f t="shared" si="5"/>
        <v>0.1251252</v>
      </c>
      <c r="I29" s="1">
        <f t="shared" si="3"/>
        <v>0.4788</v>
      </c>
    </row>
    <row r="30" spans="1:9">
      <c r="A30" s="1" t="s">
        <v>37</v>
      </c>
      <c r="B30" s="2">
        <v>29</v>
      </c>
      <c r="C30" s="3">
        <v>45799</v>
      </c>
      <c r="D30" s="2">
        <f t="shared" si="4"/>
        <v>33.103</v>
      </c>
      <c r="E30" s="1">
        <v>0.033103</v>
      </c>
      <c r="F30" s="1">
        <f t="shared" si="6"/>
        <v>0.248894736842105</v>
      </c>
      <c r="G30" s="1">
        <v>0.31</v>
      </c>
      <c r="H30" s="1">
        <f t="shared" si="5"/>
        <v>0.1026193</v>
      </c>
      <c r="I30" s="1">
        <f t="shared" si="3"/>
        <v>0.4123</v>
      </c>
    </row>
    <row r="31" spans="1:9">
      <c r="A31" s="1" t="s">
        <v>38</v>
      </c>
      <c r="B31" s="2">
        <v>30</v>
      </c>
      <c r="C31" s="3">
        <v>45799</v>
      </c>
      <c r="D31" s="2">
        <f t="shared" si="4"/>
        <v>29.875</v>
      </c>
      <c r="E31" s="1">
        <v>0.029875</v>
      </c>
      <c r="F31" s="1">
        <f t="shared" si="6"/>
        <v>0.224624060150376</v>
      </c>
      <c r="G31" s="1">
        <v>0.38</v>
      </c>
      <c r="H31" s="1">
        <f t="shared" si="5"/>
        <v>0.113525</v>
      </c>
      <c r="I31" s="1">
        <f t="shared" si="3"/>
        <v>0.5054</v>
      </c>
    </row>
    <row r="32" spans="1:9">
      <c r="A32" s="1" t="s">
        <v>39</v>
      </c>
      <c r="B32" s="2">
        <v>31</v>
      </c>
      <c r="C32" s="3">
        <v>45799</v>
      </c>
      <c r="D32" s="2">
        <f t="shared" si="4"/>
        <v>29.446</v>
      </c>
      <c r="E32" s="1">
        <v>0.029446</v>
      </c>
      <c r="F32" s="1">
        <f t="shared" si="6"/>
        <v>0.221398496240602</v>
      </c>
      <c r="G32" s="1">
        <v>0.46</v>
      </c>
      <c r="H32" s="1">
        <f t="shared" si="5"/>
        <v>0.1354516</v>
      </c>
      <c r="I32" s="1">
        <f t="shared" si="3"/>
        <v>0.6118</v>
      </c>
    </row>
    <row r="33" spans="1:9">
      <c r="A33" s="1" t="s">
        <v>40</v>
      </c>
      <c r="B33" s="2">
        <v>32</v>
      </c>
      <c r="C33" s="3">
        <v>45799</v>
      </c>
      <c r="D33" s="2">
        <f t="shared" si="4"/>
        <v>31.069</v>
      </c>
      <c r="E33" s="1">
        <v>0.031069</v>
      </c>
      <c r="F33" s="1">
        <f t="shared" si="6"/>
        <v>0.233601503759398</v>
      </c>
      <c r="G33" s="1">
        <v>0.44</v>
      </c>
      <c r="H33" s="1">
        <f t="shared" si="5"/>
        <v>0.1367036</v>
      </c>
      <c r="I33" s="1">
        <f t="shared" si="3"/>
        <v>0.5852</v>
      </c>
    </row>
    <row r="34" spans="1:9">
      <c r="A34" s="1" t="s">
        <v>41</v>
      </c>
      <c r="B34" s="2">
        <v>33</v>
      </c>
      <c r="C34" s="3">
        <v>45799</v>
      </c>
      <c r="D34" s="2">
        <f t="shared" si="4"/>
        <v>31.701</v>
      </c>
      <c r="E34" s="1">
        <v>0.031701</v>
      </c>
      <c r="F34" s="1">
        <f t="shared" si="6"/>
        <v>0.238353383458647</v>
      </c>
      <c r="G34" s="1">
        <v>0.37</v>
      </c>
      <c r="H34" s="1">
        <f t="shared" si="5"/>
        <v>0.1172937</v>
      </c>
      <c r="I34" s="1">
        <f t="shared" si="3"/>
        <v>0.4921</v>
      </c>
    </row>
    <row r="35" spans="1:9">
      <c r="A35" s="1" t="s">
        <v>42</v>
      </c>
      <c r="B35" s="2">
        <v>34</v>
      </c>
      <c r="C35" s="3">
        <v>45799</v>
      </c>
      <c r="D35" s="2">
        <f t="shared" si="4"/>
        <v>34.593</v>
      </c>
      <c r="E35" s="1">
        <v>0.034593</v>
      </c>
      <c r="F35" s="1">
        <f t="shared" si="6"/>
        <v>0.260097744360902</v>
      </c>
      <c r="G35" s="1">
        <v>0.33</v>
      </c>
      <c r="H35" s="1">
        <f t="shared" si="5"/>
        <v>0.1141569</v>
      </c>
      <c r="I35" s="1">
        <f t="shared" si="3"/>
        <v>0.4389</v>
      </c>
    </row>
    <row r="36" spans="1:9">
      <c r="A36" s="1" t="s">
        <v>43</v>
      </c>
      <c r="B36" s="2">
        <v>35</v>
      </c>
      <c r="C36" s="3">
        <v>45799</v>
      </c>
      <c r="D36" s="2">
        <f t="shared" si="4"/>
        <v>33.743</v>
      </c>
      <c r="E36" s="1">
        <v>0.033743</v>
      </c>
      <c r="F36" s="1">
        <f t="shared" si="6"/>
        <v>0.253706766917293</v>
      </c>
      <c r="G36" s="1">
        <v>0.28</v>
      </c>
      <c r="H36" s="1">
        <f t="shared" si="5"/>
        <v>0.0944804</v>
      </c>
      <c r="I36" s="1">
        <f t="shared" si="3"/>
        <v>0.3724</v>
      </c>
    </row>
    <row r="37" spans="1:9">
      <c r="A37" s="1" t="s">
        <v>44</v>
      </c>
      <c r="B37" s="2">
        <v>36</v>
      </c>
      <c r="C37" s="3">
        <v>45799</v>
      </c>
      <c r="D37" s="2">
        <f t="shared" si="4"/>
        <v>30.068</v>
      </c>
      <c r="E37" s="1">
        <v>0.030068</v>
      </c>
      <c r="F37" s="1">
        <f t="shared" si="6"/>
        <v>0.226075187969925</v>
      </c>
      <c r="G37" s="1">
        <v>0.17</v>
      </c>
      <c r="H37" s="1">
        <f t="shared" si="5"/>
        <v>0.0511156</v>
      </c>
      <c r="I37" s="1">
        <f t="shared" si="3"/>
        <v>0.2261</v>
      </c>
    </row>
    <row r="38" spans="1:9">
      <c r="A38" s="1" t="s">
        <v>45</v>
      </c>
      <c r="B38" s="2">
        <v>1</v>
      </c>
      <c r="C38" s="3">
        <v>45796</v>
      </c>
      <c r="D38" s="2">
        <f t="shared" si="4"/>
        <v>17.133</v>
      </c>
      <c r="E38" s="1">
        <v>0.017133</v>
      </c>
      <c r="F38">
        <f>D38/35</f>
        <v>0.489514285714286</v>
      </c>
      <c r="G38" s="1"/>
      <c r="H38" s="1">
        <f t="shared" si="5"/>
        <v>0</v>
      </c>
      <c r="I38" s="1">
        <f t="shared" ref="I38:I77" si="7">H38/F38</f>
        <v>0</v>
      </c>
    </row>
    <row r="39" spans="1:9">
      <c r="A39" s="1" t="s">
        <v>46</v>
      </c>
      <c r="B39" s="2">
        <v>2</v>
      </c>
      <c r="C39" s="3">
        <v>45796</v>
      </c>
      <c r="D39" s="2">
        <f t="shared" si="4"/>
        <v>18.365</v>
      </c>
      <c r="E39" s="1">
        <v>0.018365</v>
      </c>
      <c r="F39">
        <f t="shared" ref="F39:F73" si="8">D39/35</f>
        <v>0.524714285714286</v>
      </c>
      <c r="G39" s="1">
        <v>0.19</v>
      </c>
      <c r="H39" s="1">
        <f t="shared" si="5"/>
        <v>0.0348935</v>
      </c>
      <c r="I39" s="1">
        <f t="shared" si="7"/>
        <v>0.0665</v>
      </c>
    </row>
    <row r="40" spans="1:9">
      <c r="A40" s="1" t="s">
        <v>47</v>
      </c>
      <c r="B40" s="2">
        <v>3</v>
      </c>
      <c r="C40" s="3">
        <v>45796</v>
      </c>
      <c r="D40" s="2">
        <f t="shared" si="4"/>
        <v>17.133</v>
      </c>
      <c r="E40" s="1">
        <v>0.017133</v>
      </c>
      <c r="F40">
        <f t="shared" si="8"/>
        <v>0.489514285714286</v>
      </c>
      <c r="G40" s="1">
        <v>0.24</v>
      </c>
      <c r="H40" s="1">
        <f t="shared" si="5"/>
        <v>0.0411192</v>
      </c>
      <c r="I40" s="1">
        <f t="shared" si="7"/>
        <v>0.084</v>
      </c>
    </row>
    <row r="41" spans="1:9">
      <c r="A41" s="1" t="s">
        <v>48</v>
      </c>
      <c r="B41" s="2">
        <v>4</v>
      </c>
      <c r="C41" s="3">
        <v>45796</v>
      </c>
      <c r="D41" s="2">
        <f t="shared" si="4"/>
        <v>16.665</v>
      </c>
      <c r="E41" s="1">
        <v>0.016665</v>
      </c>
      <c r="F41">
        <f t="shared" si="8"/>
        <v>0.476142857142857</v>
      </c>
      <c r="G41" s="1">
        <v>0.18</v>
      </c>
      <c r="H41" s="1">
        <f t="shared" si="5"/>
        <v>0.029997</v>
      </c>
      <c r="I41" s="1">
        <f t="shared" si="7"/>
        <v>0.063</v>
      </c>
    </row>
    <row r="42" spans="1:9">
      <c r="A42" s="1" t="s">
        <v>49</v>
      </c>
      <c r="B42" s="2">
        <v>5</v>
      </c>
      <c r="C42" s="3">
        <v>45796</v>
      </c>
      <c r="D42" s="2">
        <f t="shared" si="4"/>
        <v>17.65</v>
      </c>
      <c r="E42" s="1">
        <v>0.01765</v>
      </c>
      <c r="F42">
        <f t="shared" si="8"/>
        <v>0.504285714285714</v>
      </c>
      <c r="G42" s="1">
        <v>0.19</v>
      </c>
      <c r="H42" s="1">
        <f t="shared" si="5"/>
        <v>0.033535</v>
      </c>
      <c r="I42" s="1">
        <f t="shared" si="7"/>
        <v>0.0665</v>
      </c>
    </row>
    <row r="43" spans="1:9">
      <c r="A43" s="1" t="s">
        <v>50</v>
      </c>
      <c r="B43" s="2">
        <v>6</v>
      </c>
      <c r="C43" s="3">
        <v>45796</v>
      </c>
      <c r="D43" s="2">
        <f t="shared" si="4"/>
        <v>17.458</v>
      </c>
      <c r="E43" s="1">
        <v>0.017458</v>
      </c>
      <c r="F43">
        <f t="shared" si="8"/>
        <v>0.4988</v>
      </c>
      <c r="G43" s="1">
        <v>0.21</v>
      </c>
      <c r="H43" s="1">
        <f t="shared" si="5"/>
        <v>0.0366618</v>
      </c>
      <c r="I43" s="1">
        <f t="shared" si="7"/>
        <v>0.0735</v>
      </c>
    </row>
    <row r="44" spans="1:9">
      <c r="A44" s="1" t="s">
        <v>51</v>
      </c>
      <c r="B44" s="2">
        <v>7</v>
      </c>
      <c r="C44" s="3">
        <v>45796</v>
      </c>
      <c r="D44" s="2">
        <f t="shared" si="4"/>
        <v>18.479</v>
      </c>
      <c r="E44" s="1">
        <v>0.018479</v>
      </c>
      <c r="F44">
        <f t="shared" si="8"/>
        <v>0.527971428571429</v>
      </c>
      <c r="G44" s="1">
        <v>0.28</v>
      </c>
      <c r="H44" s="1">
        <f t="shared" si="5"/>
        <v>0.0517412</v>
      </c>
      <c r="I44" s="1">
        <f t="shared" si="7"/>
        <v>0.098</v>
      </c>
    </row>
    <row r="45" spans="1:9">
      <c r="A45" s="1" t="s">
        <v>52</v>
      </c>
      <c r="B45" s="2">
        <v>8</v>
      </c>
      <c r="C45" s="3">
        <v>45796</v>
      </c>
      <c r="D45" s="2">
        <f t="shared" si="4"/>
        <v>17.638</v>
      </c>
      <c r="E45" s="1">
        <v>0.017638</v>
      </c>
      <c r="F45">
        <f t="shared" si="8"/>
        <v>0.503942857142857</v>
      </c>
      <c r="G45" s="1">
        <v>0.53</v>
      </c>
      <c r="H45" s="1">
        <f t="shared" si="5"/>
        <v>0.0934814</v>
      </c>
      <c r="I45" s="1">
        <f t="shared" si="7"/>
        <v>0.1855</v>
      </c>
    </row>
    <row r="46" spans="1:9">
      <c r="A46" s="1" t="s">
        <v>53</v>
      </c>
      <c r="B46" s="2">
        <v>9</v>
      </c>
      <c r="C46" s="3">
        <v>45796</v>
      </c>
      <c r="D46" s="2">
        <f t="shared" si="4"/>
        <v>19.408</v>
      </c>
      <c r="E46" s="1">
        <v>0.019408</v>
      </c>
      <c r="F46">
        <f t="shared" si="8"/>
        <v>0.554514285714286</v>
      </c>
      <c r="G46" s="1">
        <v>1.13</v>
      </c>
      <c r="H46" s="1">
        <f t="shared" ref="H46:H77" si="9">G46%*D46</f>
        <v>0.2193104</v>
      </c>
      <c r="I46" s="1">
        <f t="shared" si="7"/>
        <v>0.3955</v>
      </c>
    </row>
    <row r="47" spans="1:9">
      <c r="A47" s="1" t="s">
        <v>54</v>
      </c>
      <c r="B47" s="2">
        <v>10</v>
      </c>
      <c r="C47" s="3">
        <v>45796</v>
      </c>
      <c r="D47" s="2">
        <f t="shared" si="4"/>
        <v>15.545</v>
      </c>
      <c r="E47" s="1">
        <v>0.015545</v>
      </c>
      <c r="F47">
        <f t="shared" si="8"/>
        <v>0.444142857142857</v>
      </c>
      <c r="G47" s="1">
        <v>0.27</v>
      </c>
      <c r="H47" s="1">
        <f t="shared" si="9"/>
        <v>0.0419715</v>
      </c>
      <c r="I47" s="1">
        <f t="shared" si="7"/>
        <v>0.0945</v>
      </c>
    </row>
    <row r="48" spans="1:9">
      <c r="A48" s="1" t="s">
        <v>55</v>
      </c>
      <c r="B48" s="2">
        <v>11</v>
      </c>
      <c r="C48" s="3">
        <v>45796</v>
      </c>
      <c r="D48" s="2">
        <f t="shared" si="4"/>
        <v>17.999</v>
      </c>
      <c r="E48" s="1">
        <v>0.017999</v>
      </c>
      <c r="F48">
        <f t="shared" si="8"/>
        <v>0.514257142857143</v>
      </c>
      <c r="G48" s="1">
        <v>0.34</v>
      </c>
      <c r="H48" s="1">
        <f t="shared" si="9"/>
        <v>0.0611966</v>
      </c>
      <c r="I48" s="1">
        <f t="shared" si="7"/>
        <v>0.119</v>
      </c>
    </row>
    <row r="49" spans="1:9">
      <c r="A49" s="1" t="s">
        <v>56</v>
      </c>
      <c r="B49" s="2">
        <v>12</v>
      </c>
      <c r="C49" s="3">
        <v>45796</v>
      </c>
      <c r="D49" s="2">
        <f t="shared" si="4"/>
        <v>17.537</v>
      </c>
      <c r="E49" s="1">
        <v>0.017537</v>
      </c>
      <c r="F49">
        <f t="shared" si="8"/>
        <v>0.501057142857143</v>
      </c>
      <c r="G49" s="1">
        <v>0.25</v>
      </c>
      <c r="H49" s="1">
        <f t="shared" si="9"/>
        <v>0.0438425</v>
      </c>
      <c r="I49" s="1">
        <f t="shared" si="7"/>
        <v>0.0875</v>
      </c>
    </row>
    <row r="50" spans="1:9">
      <c r="A50" s="1" t="s">
        <v>57</v>
      </c>
      <c r="B50" s="2">
        <v>13</v>
      </c>
      <c r="C50" s="3">
        <v>45796</v>
      </c>
      <c r="D50" s="2">
        <f t="shared" si="4"/>
        <v>16.822</v>
      </c>
      <c r="E50" s="1">
        <v>0.016822</v>
      </c>
      <c r="F50">
        <f t="shared" si="8"/>
        <v>0.480628571428571</v>
      </c>
      <c r="G50" s="1">
        <v>0.24</v>
      </c>
      <c r="H50" s="1">
        <f t="shared" si="9"/>
        <v>0.0403728</v>
      </c>
      <c r="I50" s="1">
        <f t="shared" si="7"/>
        <v>0.084</v>
      </c>
    </row>
    <row r="51" spans="1:9">
      <c r="A51" s="1" t="s">
        <v>58</v>
      </c>
      <c r="B51" s="2">
        <v>14</v>
      </c>
      <c r="C51" s="3">
        <v>45796</v>
      </c>
      <c r="D51" s="2">
        <f t="shared" si="4"/>
        <v>18</v>
      </c>
      <c r="E51" s="1">
        <v>0.018</v>
      </c>
      <c r="F51">
        <f t="shared" si="8"/>
        <v>0.514285714285714</v>
      </c>
      <c r="G51" s="1">
        <v>0.38</v>
      </c>
      <c r="H51" s="1">
        <f t="shared" si="9"/>
        <v>0.0684</v>
      </c>
      <c r="I51" s="1">
        <f t="shared" si="7"/>
        <v>0.133</v>
      </c>
    </row>
    <row r="52" spans="1:9">
      <c r="A52" s="1" t="s">
        <v>59</v>
      </c>
      <c r="B52" s="2">
        <v>15</v>
      </c>
      <c r="C52" s="3">
        <v>45796</v>
      </c>
      <c r="D52" s="2">
        <f t="shared" si="4"/>
        <v>16.863</v>
      </c>
      <c r="E52" s="1">
        <v>0.016863</v>
      </c>
      <c r="F52">
        <f t="shared" si="8"/>
        <v>0.4818</v>
      </c>
      <c r="G52" s="1">
        <v>0.3</v>
      </c>
      <c r="H52" s="1">
        <f t="shared" si="9"/>
        <v>0.050589</v>
      </c>
      <c r="I52" s="1">
        <f t="shared" si="7"/>
        <v>0.105</v>
      </c>
    </row>
    <row r="53" spans="1:9">
      <c r="A53" s="1" t="s">
        <v>60</v>
      </c>
      <c r="B53" s="2">
        <v>16</v>
      </c>
      <c r="C53" s="3">
        <v>45796</v>
      </c>
      <c r="D53" s="2">
        <f t="shared" si="4"/>
        <v>16.699</v>
      </c>
      <c r="E53" s="1">
        <v>0.016699</v>
      </c>
      <c r="F53">
        <f t="shared" si="8"/>
        <v>0.477114285714286</v>
      </c>
      <c r="G53" s="1">
        <v>0.26</v>
      </c>
      <c r="H53" s="1">
        <f t="shared" si="9"/>
        <v>0.0434174</v>
      </c>
      <c r="I53" s="1">
        <f t="shared" si="7"/>
        <v>0.091</v>
      </c>
    </row>
    <row r="54" spans="1:9">
      <c r="A54" s="1" t="s">
        <v>61</v>
      </c>
      <c r="B54" s="2">
        <v>17</v>
      </c>
      <c r="C54" s="3">
        <v>45796</v>
      </c>
      <c r="D54" s="2">
        <f t="shared" si="4"/>
        <v>17.923</v>
      </c>
      <c r="E54" s="1">
        <v>0.017923</v>
      </c>
      <c r="F54">
        <f t="shared" si="8"/>
        <v>0.512085714285714</v>
      </c>
      <c r="G54" s="1">
        <v>0.31</v>
      </c>
      <c r="H54" s="1">
        <f t="shared" si="9"/>
        <v>0.0555613</v>
      </c>
      <c r="I54" s="1">
        <f t="shared" si="7"/>
        <v>0.1085</v>
      </c>
    </row>
    <row r="55" spans="1:9">
      <c r="A55" s="1" t="s">
        <v>62</v>
      </c>
      <c r="B55" s="2">
        <v>18</v>
      </c>
      <c r="C55" s="3">
        <v>45796</v>
      </c>
      <c r="D55" s="2">
        <f t="shared" si="4"/>
        <v>18.58</v>
      </c>
      <c r="E55" s="1">
        <v>0.01858</v>
      </c>
      <c r="F55">
        <f t="shared" si="8"/>
        <v>0.530857142857143</v>
      </c>
      <c r="G55" s="1">
        <v>0.29</v>
      </c>
      <c r="H55" s="1">
        <f t="shared" si="9"/>
        <v>0.053882</v>
      </c>
      <c r="I55" s="1">
        <f t="shared" si="7"/>
        <v>0.1015</v>
      </c>
    </row>
    <row r="56" spans="1:9">
      <c r="A56" s="1" t="s">
        <v>63</v>
      </c>
      <c r="B56" s="2">
        <v>19</v>
      </c>
      <c r="C56" s="3">
        <v>45796</v>
      </c>
      <c r="D56" s="2">
        <f t="shared" si="4"/>
        <v>16.458</v>
      </c>
      <c r="E56" s="1">
        <v>0.016458</v>
      </c>
      <c r="F56">
        <f t="shared" si="8"/>
        <v>0.470228571428571</v>
      </c>
      <c r="G56" s="1">
        <v>0.28</v>
      </c>
      <c r="H56" s="1">
        <f t="shared" si="9"/>
        <v>0.0460824</v>
      </c>
      <c r="I56" s="1">
        <f t="shared" si="7"/>
        <v>0.098</v>
      </c>
    </row>
    <row r="57" spans="1:9">
      <c r="A57" s="1" t="s">
        <v>64</v>
      </c>
      <c r="B57" s="2">
        <v>20</v>
      </c>
      <c r="C57" s="3">
        <v>45796</v>
      </c>
      <c r="D57" s="2">
        <f t="shared" si="4"/>
        <v>16.785</v>
      </c>
      <c r="E57" s="1">
        <v>0.016785</v>
      </c>
      <c r="F57">
        <f t="shared" si="8"/>
        <v>0.479571428571429</v>
      </c>
      <c r="G57" s="1">
        <v>0.38</v>
      </c>
      <c r="H57" s="1">
        <f t="shared" si="9"/>
        <v>0.063783</v>
      </c>
      <c r="I57" s="1">
        <f t="shared" si="7"/>
        <v>0.133</v>
      </c>
    </row>
    <row r="58" spans="1:9">
      <c r="A58" s="1" t="s">
        <v>65</v>
      </c>
      <c r="B58" s="2">
        <v>21</v>
      </c>
      <c r="C58" s="3">
        <v>45796</v>
      </c>
      <c r="D58" s="2">
        <f t="shared" si="4"/>
        <v>16.529</v>
      </c>
      <c r="E58" s="1">
        <v>0.016529</v>
      </c>
      <c r="F58">
        <f t="shared" si="8"/>
        <v>0.472257142857143</v>
      </c>
      <c r="G58" s="1">
        <v>0.35</v>
      </c>
      <c r="H58" s="1">
        <f t="shared" si="9"/>
        <v>0.0578515</v>
      </c>
      <c r="I58" s="1">
        <f t="shared" si="7"/>
        <v>0.1225</v>
      </c>
    </row>
    <row r="59" spans="1:9">
      <c r="A59" s="1" t="s">
        <v>66</v>
      </c>
      <c r="B59" s="2">
        <v>22</v>
      </c>
      <c r="C59" s="3">
        <v>45796</v>
      </c>
      <c r="D59" s="2">
        <f t="shared" si="4"/>
        <v>16.647</v>
      </c>
      <c r="E59" s="1">
        <v>0.016647</v>
      </c>
      <c r="F59">
        <f t="shared" si="8"/>
        <v>0.475628571428571</v>
      </c>
      <c r="G59" s="1">
        <v>0.26</v>
      </c>
      <c r="H59" s="1">
        <f t="shared" si="9"/>
        <v>0.0432822</v>
      </c>
      <c r="I59" s="1">
        <f t="shared" si="7"/>
        <v>0.091</v>
      </c>
    </row>
    <row r="60" spans="1:9">
      <c r="A60" s="1" t="s">
        <v>67</v>
      </c>
      <c r="B60" s="2">
        <v>23</v>
      </c>
      <c r="C60" s="3">
        <v>45796</v>
      </c>
      <c r="D60" s="2">
        <f t="shared" si="4"/>
        <v>17.02</v>
      </c>
      <c r="E60" s="1">
        <v>0.01702</v>
      </c>
      <c r="F60">
        <f t="shared" si="8"/>
        <v>0.486285714285714</v>
      </c>
      <c r="G60" s="1">
        <v>0.26</v>
      </c>
      <c r="H60" s="1">
        <f t="shared" si="9"/>
        <v>0.044252</v>
      </c>
      <c r="I60" s="1">
        <f t="shared" si="7"/>
        <v>0.091</v>
      </c>
    </row>
    <row r="61" spans="1:9">
      <c r="A61" s="1" t="s">
        <v>68</v>
      </c>
      <c r="B61" s="2">
        <v>24</v>
      </c>
      <c r="C61" s="3">
        <v>45796</v>
      </c>
      <c r="D61" s="2">
        <f t="shared" si="4"/>
        <v>16.593</v>
      </c>
      <c r="E61" s="1">
        <v>0.016593</v>
      </c>
      <c r="F61">
        <f t="shared" si="8"/>
        <v>0.474085714285714</v>
      </c>
      <c r="G61" s="1">
        <v>0.35</v>
      </c>
      <c r="H61" s="1">
        <f t="shared" si="9"/>
        <v>0.0580755</v>
      </c>
      <c r="I61" s="1">
        <f t="shared" si="7"/>
        <v>0.1225</v>
      </c>
    </row>
    <row r="62" spans="1:9">
      <c r="A62" s="1" t="s">
        <v>69</v>
      </c>
      <c r="B62" s="2">
        <v>25</v>
      </c>
      <c r="C62" s="3">
        <v>45796</v>
      </c>
      <c r="D62" s="2">
        <f t="shared" si="4"/>
        <v>16.46</v>
      </c>
      <c r="E62" s="1">
        <v>0.01646</v>
      </c>
      <c r="F62">
        <f t="shared" si="8"/>
        <v>0.470285714285714</v>
      </c>
      <c r="G62" s="1">
        <v>0.24</v>
      </c>
      <c r="H62" s="1">
        <f t="shared" si="9"/>
        <v>0.039504</v>
      </c>
      <c r="I62" s="1">
        <f t="shared" si="7"/>
        <v>0.084</v>
      </c>
    </row>
    <row r="63" spans="1:9">
      <c r="A63" s="1" t="s">
        <v>70</v>
      </c>
      <c r="B63" s="2">
        <v>26</v>
      </c>
      <c r="C63" s="3">
        <v>45796</v>
      </c>
      <c r="D63" s="2">
        <f t="shared" si="4"/>
        <v>17.308</v>
      </c>
      <c r="E63" s="1">
        <v>0.017308</v>
      </c>
      <c r="F63">
        <f t="shared" si="8"/>
        <v>0.494514285714286</v>
      </c>
      <c r="G63" s="1">
        <v>0.27</v>
      </c>
      <c r="H63" s="1">
        <f t="shared" si="9"/>
        <v>0.0467316</v>
      </c>
      <c r="I63" s="1">
        <f t="shared" si="7"/>
        <v>0.0945</v>
      </c>
    </row>
    <row r="64" spans="1:9">
      <c r="A64" s="1" t="s">
        <v>71</v>
      </c>
      <c r="B64" s="2">
        <v>27</v>
      </c>
      <c r="C64" s="3">
        <v>45796</v>
      </c>
      <c r="D64" s="2">
        <f t="shared" si="4"/>
        <v>18.188</v>
      </c>
      <c r="E64" s="1">
        <v>0.018188</v>
      </c>
      <c r="F64">
        <f t="shared" si="8"/>
        <v>0.519657142857143</v>
      </c>
      <c r="G64" s="1">
        <v>0.16</v>
      </c>
      <c r="H64" s="1">
        <f t="shared" si="9"/>
        <v>0.0291008</v>
      </c>
      <c r="I64" s="1">
        <f t="shared" si="7"/>
        <v>0.056</v>
      </c>
    </row>
    <row r="65" spans="1:9">
      <c r="A65" s="1" t="s">
        <v>72</v>
      </c>
      <c r="B65" s="2">
        <v>28</v>
      </c>
      <c r="C65" s="3">
        <v>45796</v>
      </c>
      <c r="D65" s="2">
        <f t="shared" si="4"/>
        <v>18.761</v>
      </c>
      <c r="E65" s="1">
        <v>0.018761</v>
      </c>
      <c r="F65">
        <f t="shared" si="8"/>
        <v>0.536028571428571</v>
      </c>
      <c r="G65" s="1">
        <v>0.26</v>
      </c>
      <c r="H65" s="1">
        <f t="shared" si="9"/>
        <v>0.0487786</v>
      </c>
      <c r="I65" s="1">
        <f t="shared" si="7"/>
        <v>0.091</v>
      </c>
    </row>
    <row r="66" spans="1:9">
      <c r="A66" s="1" t="s">
        <v>73</v>
      </c>
      <c r="B66" s="2">
        <v>29</v>
      </c>
      <c r="C66" s="3">
        <v>45796</v>
      </c>
      <c r="D66" s="2">
        <f t="shared" si="4"/>
        <v>17.14</v>
      </c>
      <c r="E66" s="1">
        <v>0.01714</v>
      </c>
      <c r="F66">
        <f t="shared" si="8"/>
        <v>0.489714285714286</v>
      </c>
      <c r="G66" s="1">
        <v>0.2</v>
      </c>
      <c r="H66" s="1">
        <f t="shared" si="9"/>
        <v>0.03428</v>
      </c>
      <c r="I66" s="1">
        <f t="shared" si="7"/>
        <v>0.07</v>
      </c>
    </row>
    <row r="67" spans="1:9">
      <c r="A67" s="1" t="s">
        <v>74</v>
      </c>
      <c r="B67" s="2">
        <v>30</v>
      </c>
      <c r="C67" s="3">
        <v>45796</v>
      </c>
      <c r="D67" s="2">
        <f t="shared" si="4"/>
        <v>18.451</v>
      </c>
      <c r="E67" s="1">
        <v>0.018451</v>
      </c>
      <c r="F67">
        <f t="shared" si="8"/>
        <v>0.527171428571429</v>
      </c>
      <c r="G67" s="1">
        <v>0.42</v>
      </c>
      <c r="H67" s="1">
        <f t="shared" si="9"/>
        <v>0.0774942</v>
      </c>
      <c r="I67" s="1">
        <f t="shared" si="7"/>
        <v>0.147</v>
      </c>
    </row>
    <row r="68" spans="1:9">
      <c r="A68" s="1" t="s">
        <v>75</v>
      </c>
      <c r="B68" s="2">
        <v>31</v>
      </c>
      <c r="C68" s="3">
        <v>45796</v>
      </c>
      <c r="D68" s="2">
        <f t="shared" si="4"/>
        <v>17.362</v>
      </c>
      <c r="E68" s="1">
        <v>0.017362</v>
      </c>
      <c r="F68">
        <f t="shared" si="8"/>
        <v>0.496057142857143</v>
      </c>
      <c r="G68" s="1">
        <v>0.45</v>
      </c>
      <c r="H68" s="1">
        <f t="shared" si="9"/>
        <v>0.078129</v>
      </c>
      <c r="I68" s="1">
        <f t="shared" si="7"/>
        <v>0.1575</v>
      </c>
    </row>
    <row r="69" spans="1:9">
      <c r="A69" s="1" t="s">
        <v>76</v>
      </c>
      <c r="B69" s="2">
        <v>32</v>
      </c>
      <c r="C69" s="3">
        <v>45796</v>
      </c>
      <c r="D69" s="2">
        <f t="shared" si="4"/>
        <v>18.831</v>
      </c>
      <c r="E69" s="1">
        <v>0.018831</v>
      </c>
      <c r="F69">
        <f t="shared" si="8"/>
        <v>0.538028571428571</v>
      </c>
      <c r="G69" s="1">
        <v>0.54</v>
      </c>
      <c r="H69" s="1">
        <f t="shared" si="9"/>
        <v>0.1016874</v>
      </c>
      <c r="I69" s="1">
        <f t="shared" si="7"/>
        <v>0.189</v>
      </c>
    </row>
    <row r="70" spans="1:9">
      <c r="A70" s="1" t="s">
        <v>77</v>
      </c>
      <c r="B70" s="2">
        <v>33</v>
      </c>
      <c r="C70" s="3">
        <v>45796</v>
      </c>
      <c r="D70" s="2">
        <f t="shared" si="4"/>
        <v>17.778</v>
      </c>
      <c r="E70" s="1">
        <v>0.017778</v>
      </c>
      <c r="F70">
        <f t="shared" si="8"/>
        <v>0.507942857142857</v>
      </c>
      <c r="G70" s="1">
        <v>0.29</v>
      </c>
      <c r="H70" s="1">
        <f t="shared" si="9"/>
        <v>0.0515562</v>
      </c>
      <c r="I70" s="1">
        <f t="shared" si="7"/>
        <v>0.1015</v>
      </c>
    </row>
    <row r="71" spans="1:9">
      <c r="A71" s="1" t="s">
        <v>78</v>
      </c>
      <c r="B71" s="2">
        <v>34</v>
      </c>
      <c r="C71" s="3">
        <v>45796</v>
      </c>
      <c r="D71" s="2">
        <f t="shared" si="4"/>
        <v>17.706</v>
      </c>
      <c r="E71" s="1">
        <v>0.017706</v>
      </c>
      <c r="F71">
        <f t="shared" si="8"/>
        <v>0.505885714285714</v>
      </c>
      <c r="G71" s="1">
        <v>0.41</v>
      </c>
      <c r="H71" s="1">
        <f t="shared" si="9"/>
        <v>0.0725946</v>
      </c>
      <c r="I71" s="1">
        <f t="shared" si="7"/>
        <v>0.1435</v>
      </c>
    </row>
    <row r="72" spans="1:9">
      <c r="A72" s="1" t="s">
        <v>79</v>
      </c>
      <c r="B72" s="2">
        <v>35</v>
      </c>
      <c r="C72" s="3">
        <v>45796</v>
      </c>
      <c r="D72" s="2">
        <f t="shared" si="4"/>
        <v>17.965</v>
      </c>
      <c r="E72" s="1">
        <v>0.017965</v>
      </c>
      <c r="F72">
        <f t="shared" si="8"/>
        <v>0.513285714285714</v>
      </c>
      <c r="G72" s="1">
        <v>0.47</v>
      </c>
      <c r="H72" s="1">
        <f t="shared" si="9"/>
        <v>0.0844355</v>
      </c>
      <c r="I72" s="1">
        <f t="shared" si="7"/>
        <v>0.1645</v>
      </c>
    </row>
    <row r="73" spans="1:9">
      <c r="A73" s="1" t="s">
        <v>80</v>
      </c>
      <c r="B73" s="2">
        <v>36</v>
      </c>
      <c r="C73" s="3">
        <v>45796</v>
      </c>
      <c r="D73" s="2">
        <f t="shared" si="4"/>
        <v>17.927</v>
      </c>
      <c r="E73" s="1">
        <v>0.017927</v>
      </c>
      <c r="F73">
        <f t="shared" si="8"/>
        <v>0.5122</v>
      </c>
      <c r="G73" s="1">
        <v>0.24</v>
      </c>
      <c r="H73" s="1">
        <f t="shared" si="9"/>
        <v>0.0430248</v>
      </c>
      <c r="I73" s="1">
        <f t="shared" si="7"/>
        <v>0.084</v>
      </c>
    </row>
    <row r="74" spans="1:9">
      <c r="A74" s="1" t="s">
        <v>81</v>
      </c>
      <c r="B74" s="1">
        <v>1</v>
      </c>
      <c r="C74" s="3">
        <v>45799</v>
      </c>
      <c r="D74" s="1">
        <f t="shared" si="4"/>
        <v>29.921</v>
      </c>
      <c r="E74" s="1">
        <v>0.029921</v>
      </c>
      <c r="F74">
        <f>D74/133</f>
        <v>0.22496992481203</v>
      </c>
      <c r="G74" s="1">
        <v>0.58</v>
      </c>
      <c r="H74" s="1">
        <f t="shared" si="9"/>
        <v>0.1735418</v>
      </c>
      <c r="I74" s="1">
        <f t="shared" si="7"/>
        <v>0.7714</v>
      </c>
    </row>
    <row r="75" spans="1:9">
      <c r="A75" s="1" t="s">
        <v>82</v>
      </c>
      <c r="B75" s="1">
        <v>2</v>
      </c>
      <c r="C75" s="3">
        <v>45799</v>
      </c>
      <c r="D75" s="1">
        <f t="shared" si="4"/>
        <v>30.531</v>
      </c>
      <c r="E75" s="1">
        <v>0.030531</v>
      </c>
      <c r="F75">
        <f t="shared" ref="F75:F109" si="10">D75/133</f>
        <v>0.229556390977444</v>
      </c>
      <c r="G75" s="1">
        <v>0.46</v>
      </c>
      <c r="H75" s="1">
        <f t="shared" si="9"/>
        <v>0.1404426</v>
      </c>
      <c r="I75" s="1">
        <f t="shared" si="7"/>
        <v>0.6118</v>
      </c>
    </row>
    <row r="76" spans="1:9">
      <c r="A76" s="1" t="s">
        <v>83</v>
      </c>
      <c r="B76" s="1">
        <v>3</v>
      </c>
      <c r="C76" s="3">
        <v>45799</v>
      </c>
      <c r="D76" s="1">
        <f t="shared" si="4"/>
        <v>32.357</v>
      </c>
      <c r="E76" s="1">
        <v>0.032357</v>
      </c>
      <c r="F76">
        <f t="shared" si="10"/>
        <v>0.243285714285714</v>
      </c>
      <c r="G76" s="1">
        <v>0.14</v>
      </c>
      <c r="H76" s="1">
        <f t="shared" si="9"/>
        <v>0.0452998</v>
      </c>
      <c r="I76" s="1">
        <f t="shared" si="7"/>
        <v>0.1862</v>
      </c>
    </row>
    <row r="77" spans="1:9">
      <c r="A77" s="1" t="s">
        <v>84</v>
      </c>
      <c r="B77" s="1">
        <v>4</v>
      </c>
      <c r="C77" s="3">
        <v>45799</v>
      </c>
      <c r="D77" s="1">
        <f t="shared" si="4"/>
        <v>30.562</v>
      </c>
      <c r="E77" s="1">
        <v>0.030562</v>
      </c>
      <c r="F77">
        <f t="shared" si="10"/>
        <v>0.229789473684211</v>
      </c>
      <c r="G77" s="1">
        <v>0.21</v>
      </c>
      <c r="H77" s="1">
        <f t="shared" si="9"/>
        <v>0.0641802</v>
      </c>
      <c r="I77" s="1">
        <f t="shared" si="7"/>
        <v>0.2793</v>
      </c>
    </row>
    <row r="78" spans="1:9">
      <c r="A78" s="1" t="s">
        <v>85</v>
      </c>
      <c r="B78" s="1">
        <v>5</v>
      </c>
      <c r="C78" s="3">
        <v>45799</v>
      </c>
      <c r="D78" s="1">
        <f t="shared" ref="D78:D85" si="11">E78*1000</f>
        <v>31.872</v>
      </c>
      <c r="E78" s="1">
        <v>0.031872</v>
      </c>
      <c r="F78">
        <f t="shared" si="10"/>
        <v>0.239639097744361</v>
      </c>
      <c r="G78" s="1">
        <v>0.15</v>
      </c>
      <c r="H78" s="1">
        <f t="shared" ref="H78:H104" si="12">G78%*D78</f>
        <v>0.047808</v>
      </c>
      <c r="I78" s="1">
        <f t="shared" ref="I78:I104" si="13">H78/F78</f>
        <v>0.1995</v>
      </c>
    </row>
    <row r="79" spans="1:9">
      <c r="A79" s="1" t="s">
        <v>86</v>
      </c>
      <c r="B79" s="1">
        <v>6</v>
      </c>
      <c r="C79" s="3">
        <v>45799</v>
      </c>
      <c r="D79" s="1">
        <f t="shared" si="11"/>
        <v>31.89</v>
      </c>
      <c r="E79" s="1">
        <v>0.03189</v>
      </c>
      <c r="F79">
        <f t="shared" si="10"/>
        <v>0.239774436090226</v>
      </c>
      <c r="G79" s="1">
        <v>0.29</v>
      </c>
      <c r="H79" s="1">
        <f t="shared" si="12"/>
        <v>0.092481</v>
      </c>
      <c r="I79" s="1">
        <f t="shared" si="13"/>
        <v>0.385699999999999</v>
      </c>
    </row>
    <row r="80" spans="1:9">
      <c r="A80" s="1" t="s">
        <v>87</v>
      </c>
      <c r="B80" s="1">
        <v>7</v>
      </c>
      <c r="C80" s="3">
        <v>45799</v>
      </c>
      <c r="D80" s="1">
        <f t="shared" si="11"/>
        <v>30.529</v>
      </c>
      <c r="E80" s="1">
        <v>0.030529</v>
      </c>
      <c r="F80">
        <f t="shared" si="10"/>
        <v>0.229541353383459</v>
      </c>
      <c r="G80" s="1">
        <v>0.21</v>
      </c>
      <c r="H80" s="1">
        <f t="shared" si="12"/>
        <v>0.0641109</v>
      </c>
      <c r="I80" s="1">
        <f t="shared" si="13"/>
        <v>0.2793</v>
      </c>
    </row>
    <row r="81" spans="1:9">
      <c r="A81" s="1" t="s">
        <v>88</v>
      </c>
      <c r="B81" s="1">
        <v>8</v>
      </c>
      <c r="C81" s="3">
        <v>45799</v>
      </c>
      <c r="D81" s="1">
        <f t="shared" si="11"/>
        <v>30.351</v>
      </c>
      <c r="E81" s="1">
        <v>0.030351</v>
      </c>
      <c r="F81">
        <f t="shared" si="10"/>
        <v>0.228203007518797</v>
      </c>
      <c r="G81" s="1">
        <v>0.2</v>
      </c>
      <c r="H81" s="1">
        <f t="shared" si="12"/>
        <v>0.060702</v>
      </c>
      <c r="I81" s="1">
        <f t="shared" si="13"/>
        <v>0.266</v>
      </c>
    </row>
    <row r="82" spans="1:9">
      <c r="A82" s="1" t="s">
        <v>89</v>
      </c>
      <c r="B82" s="1">
        <v>9</v>
      </c>
      <c r="C82" s="3">
        <v>45799</v>
      </c>
      <c r="D82" s="1">
        <f t="shared" si="11"/>
        <v>31.431</v>
      </c>
      <c r="E82" s="1">
        <v>0.031431</v>
      </c>
      <c r="F82">
        <f t="shared" si="10"/>
        <v>0.236323308270677</v>
      </c>
      <c r="G82" s="1">
        <v>0.32</v>
      </c>
      <c r="H82" s="1">
        <f t="shared" si="12"/>
        <v>0.1005792</v>
      </c>
      <c r="I82" s="1">
        <f t="shared" si="13"/>
        <v>0.425599999999999</v>
      </c>
    </row>
    <row r="83" spans="1:9">
      <c r="A83" s="1" t="s">
        <v>90</v>
      </c>
      <c r="B83" s="1">
        <v>10</v>
      </c>
      <c r="C83" s="3">
        <v>45799</v>
      </c>
      <c r="D83" s="1">
        <f t="shared" si="11"/>
        <v>31.933</v>
      </c>
      <c r="E83" s="1">
        <v>0.031933</v>
      </c>
      <c r="F83">
        <f t="shared" si="10"/>
        <v>0.240097744360902</v>
      </c>
      <c r="G83" s="1">
        <v>0.18</v>
      </c>
      <c r="H83" s="1">
        <f t="shared" si="12"/>
        <v>0.0574794</v>
      </c>
      <c r="I83" s="1">
        <f t="shared" si="13"/>
        <v>0.2394</v>
      </c>
    </row>
    <row r="84" spans="1:9">
      <c r="A84" s="1" t="s">
        <v>91</v>
      </c>
      <c r="B84" s="1">
        <v>11</v>
      </c>
      <c r="C84" s="3">
        <v>45799</v>
      </c>
      <c r="D84" s="1">
        <f t="shared" si="11"/>
        <v>29.932</v>
      </c>
      <c r="E84" s="1">
        <v>0.029932</v>
      </c>
      <c r="F84">
        <f t="shared" si="10"/>
        <v>0.225052631578947</v>
      </c>
      <c r="G84" s="1">
        <v>0.2</v>
      </c>
      <c r="H84" s="1">
        <f t="shared" si="12"/>
        <v>0.059864</v>
      </c>
      <c r="I84" s="1">
        <f t="shared" si="13"/>
        <v>0.266</v>
      </c>
    </row>
    <row r="85" spans="1:9">
      <c r="A85" s="1" t="s">
        <v>92</v>
      </c>
      <c r="B85" s="1">
        <v>12</v>
      </c>
      <c r="C85" s="3">
        <v>45799</v>
      </c>
      <c r="D85" s="1">
        <f t="shared" si="11"/>
        <v>29.018</v>
      </c>
      <c r="E85" s="1">
        <v>0.029018</v>
      </c>
      <c r="F85">
        <f t="shared" si="10"/>
        <v>0.21818045112782</v>
      </c>
      <c r="G85" s="1">
        <v>0.42</v>
      </c>
      <c r="H85" s="1">
        <f t="shared" si="12"/>
        <v>0.1218756</v>
      </c>
      <c r="I85" s="1">
        <f t="shared" si="13"/>
        <v>0.558599999999999</v>
      </c>
    </row>
    <row r="86" spans="1:9">
      <c r="A86" s="1" t="s">
        <v>93</v>
      </c>
      <c r="B86" s="1">
        <v>13</v>
      </c>
      <c r="C86" s="3">
        <v>45799</v>
      </c>
      <c r="D86" s="1">
        <f t="shared" ref="D86:D122" si="14">E86*1000</f>
        <v>30.869</v>
      </c>
      <c r="E86" s="1">
        <v>0.030869</v>
      </c>
      <c r="F86">
        <f t="shared" si="10"/>
        <v>0.232097744360902</v>
      </c>
      <c r="G86" s="1">
        <v>0.21</v>
      </c>
      <c r="H86" s="1">
        <f t="shared" si="12"/>
        <v>0.0648249</v>
      </c>
      <c r="I86" s="1">
        <f t="shared" si="13"/>
        <v>0.2793</v>
      </c>
    </row>
    <row r="87" spans="1:9">
      <c r="A87" s="1" t="s">
        <v>94</v>
      </c>
      <c r="B87" s="1">
        <v>14</v>
      </c>
      <c r="C87" s="3">
        <v>45799</v>
      </c>
      <c r="D87" s="1">
        <f t="shared" si="14"/>
        <v>31.879</v>
      </c>
      <c r="E87" s="1">
        <v>0.031879</v>
      </c>
      <c r="F87">
        <f t="shared" si="10"/>
        <v>0.239691729323308</v>
      </c>
      <c r="G87" s="1">
        <v>0.28</v>
      </c>
      <c r="H87" s="1">
        <f t="shared" si="12"/>
        <v>0.0892612</v>
      </c>
      <c r="I87" s="1">
        <f t="shared" si="13"/>
        <v>0.3724</v>
      </c>
    </row>
    <row r="88" spans="1:9">
      <c r="A88" s="1" t="s">
        <v>95</v>
      </c>
      <c r="B88" s="1">
        <v>15</v>
      </c>
      <c r="C88" s="3">
        <v>45799</v>
      </c>
      <c r="D88" s="1">
        <f t="shared" si="14"/>
        <v>34.002</v>
      </c>
      <c r="E88" s="1">
        <v>0.034002</v>
      </c>
      <c r="F88">
        <f t="shared" si="10"/>
        <v>0.255654135338346</v>
      </c>
      <c r="G88" s="1">
        <v>0.27</v>
      </c>
      <c r="H88" s="1">
        <f t="shared" si="12"/>
        <v>0.0918054</v>
      </c>
      <c r="I88" s="1">
        <f t="shared" si="13"/>
        <v>0.3591</v>
      </c>
    </row>
    <row r="89" spans="1:9">
      <c r="A89" s="1" t="s">
        <v>96</v>
      </c>
      <c r="B89" s="1">
        <v>16</v>
      </c>
      <c r="C89" s="3">
        <v>45799</v>
      </c>
      <c r="D89" s="1">
        <f t="shared" si="14"/>
        <v>32.797</v>
      </c>
      <c r="E89" s="1">
        <v>0.032797</v>
      </c>
      <c r="F89">
        <f t="shared" si="10"/>
        <v>0.246593984962406</v>
      </c>
      <c r="G89" s="1">
        <v>0.17</v>
      </c>
      <c r="H89" s="1">
        <f t="shared" si="12"/>
        <v>0.0557549</v>
      </c>
      <c r="I89" s="1">
        <f t="shared" si="13"/>
        <v>0.2261</v>
      </c>
    </row>
    <row r="90" spans="1:9">
      <c r="A90" s="1" t="s">
        <v>97</v>
      </c>
      <c r="B90" s="1">
        <v>17</v>
      </c>
      <c r="C90" s="3">
        <v>45799</v>
      </c>
      <c r="D90" s="1">
        <f t="shared" si="14"/>
        <v>31.873</v>
      </c>
      <c r="E90" s="1">
        <v>0.031873</v>
      </c>
      <c r="F90">
        <f t="shared" si="10"/>
        <v>0.239646616541353</v>
      </c>
      <c r="G90" s="1">
        <v>0.3</v>
      </c>
      <c r="H90" s="1">
        <f t="shared" si="12"/>
        <v>0.095619</v>
      </c>
      <c r="I90" s="1">
        <f t="shared" si="13"/>
        <v>0.399000000000001</v>
      </c>
    </row>
    <row r="91" spans="1:9">
      <c r="A91" s="4" t="s">
        <v>98</v>
      </c>
      <c r="B91" s="1">
        <v>18</v>
      </c>
      <c r="C91" s="3">
        <v>45799</v>
      </c>
      <c r="D91" s="1">
        <f t="shared" si="14"/>
        <v>32.414</v>
      </c>
      <c r="E91" s="1">
        <v>0.032414</v>
      </c>
      <c r="F91">
        <f t="shared" si="10"/>
        <v>0.243714285714286</v>
      </c>
      <c r="G91" s="1">
        <v>0.16</v>
      </c>
      <c r="H91" s="1">
        <f t="shared" si="12"/>
        <v>0.0518624</v>
      </c>
      <c r="I91" s="1">
        <f t="shared" si="13"/>
        <v>0.2128</v>
      </c>
    </row>
    <row r="92" spans="1:9">
      <c r="A92" s="1" t="s">
        <v>99</v>
      </c>
      <c r="B92" s="1">
        <v>19</v>
      </c>
      <c r="C92" s="3">
        <v>45799</v>
      </c>
      <c r="D92" s="1">
        <f t="shared" si="14"/>
        <v>30.677</v>
      </c>
      <c r="E92" s="1">
        <v>0.030677</v>
      </c>
      <c r="F92">
        <f t="shared" si="10"/>
        <v>0.230654135338346</v>
      </c>
      <c r="G92" s="1">
        <v>0.21</v>
      </c>
      <c r="H92" s="1">
        <f t="shared" si="12"/>
        <v>0.0644217</v>
      </c>
      <c r="I92" s="1">
        <f t="shared" si="13"/>
        <v>0.2793</v>
      </c>
    </row>
    <row r="93" spans="1:9">
      <c r="A93" s="1" t="s">
        <v>100</v>
      </c>
      <c r="B93" s="1">
        <v>20</v>
      </c>
      <c r="C93" s="3">
        <v>45799</v>
      </c>
      <c r="D93" s="1">
        <f t="shared" si="14"/>
        <v>29.104</v>
      </c>
      <c r="E93" s="1">
        <v>0.029104</v>
      </c>
      <c r="F93">
        <f t="shared" si="10"/>
        <v>0.218827067669173</v>
      </c>
      <c r="G93" s="1">
        <v>0.23</v>
      </c>
      <c r="H93" s="1">
        <f t="shared" si="12"/>
        <v>0.0669392</v>
      </c>
      <c r="I93" s="1">
        <f t="shared" si="13"/>
        <v>0.3059</v>
      </c>
    </row>
    <row r="94" spans="1:9">
      <c r="A94" s="1" t="s">
        <v>101</v>
      </c>
      <c r="B94" s="1">
        <v>21</v>
      </c>
      <c r="C94" s="3">
        <v>45799</v>
      </c>
      <c r="D94" s="1">
        <f t="shared" si="14"/>
        <v>33.526</v>
      </c>
      <c r="E94" s="1">
        <v>0.033526</v>
      </c>
      <c r="F94">
        <f t="shared" si="10"/>
        <v>0.252075187969925</v>
      </c>
      <c r="G94" s="1">
        <v>0.36</v>
      </c>
      <c r="H94" s="1">
        <f t="shared" si="12"/>
        <v>0.1206936</v>
      </c>
      <c r="I94" s="1">
        <f t="shared" si="13"/>
        <v>0.4788</v>
      </c>
    </row>
    <row r="95" spans="1:9">
      <c r="A95" s="1" t="s">
        <v>102</v>
      </c>
      <c r="B95" s="1">
        <v>22</v>
      </c>
      <c r="C95" s="3">
        <v>45799</v>
      </c>
      <c r="D95" s="1">
        <f t="shared" si="14"/>
        <v>32.627</v>
      </c>
      <c r="E95" s="1">
        <v>0.032627</v>
      </c>
      <c r="F95">
        <f t="shared" si="10"/>
        <v>0.245315789473684</v>
      </c>
      <c r="G95" s="1">
        <v>0.46</v>
      </c>
      <c r="H95" s="1">
        <f t="shared" si="12"/>
        <v>0.1500842</v>
      </c>
      <c r="I95" s="1">
        <f t="shared" si="13"/>
        <v>0.611800000000001</v>
      </c>
    </row>
    <row r="96" spans="1:9">
      <c r="A96" s="1" t="s">
        <v>103</v>
      </c>
      <c r="B96" s="1">
        <v>23</v>
      </c>
      <c r="C96" s="3">
        <v>45799</v>
      </c>
      <c r="D96" s="1">
        <f t="shared" si="14"/>
        <v>31.417</v>
      </c>
      <c r="E96" s="1">
        <v>0.031417</v>
      </c>
      <c r="F96">
        <f t="shared" si="10"/>
        <v>0.236218045112782</v>
      </c>
      <c r="G96" s="1">
        <v>0.3</v>
      </c>
      <c r="H96" s="1">
        <f t="shared" si="12"/>
        <v>0.094251</v>
      </c>
      <c r="I96" s="1">
        <f t="shared" si="13"/>
        <v>0.399</v>
      </c>
    </row>
    <row r="97" spans="1:9">
      <c r="A97" s="1" t="s">
        <v>104</v>
      </c>
      <c r="B97" s="1">
        <v>24</v>
      </c>
      <c r="C97" s="3">
        <v>45799</v>
      </c>
      <c r="D97" s="1">
        <f t="shared" si="14"/>
        <v>32.446</v>
      </c>
      <c r="E97" s="1">
        <v>0.032446</v>
      </c>
      <c r="F97">
        <f t="shared" si="10"/>
        <v>0.243954887218045</v>
      </c>
      <c r="G97" s="1">
        <v>0.59</v>
      </c>
      <c r="H97" s="1">
        <f t="shared" si="12"/>
        <v>0.1914314</v>
      </c>
      <c r="I97" s="1">
        <f t="shared" si="13"/>
        <v>0.7847</v>
      </c>
    </row>
    <row r="98" spans="1:9">
      <c r="A98" s="1" t="s">
        <v>105</v>
      </c>
      <c r="B98" s="1">
        <v>25</v>
      </c>
      <c r="C98" s="3">
        <v>45799</v>
      </c>
      <c r="D98" s="1">
        <f t="shared" si="14"/>
        <v>33.158</v>
      </c>
      <c r="E98" s="1">
        <v>0.033158</v>
      </c>
      <c r="F98">
        <f t="shared" si="10"/>
        <v>0.249308270676692</v>
      </c>
      <c r="G98" s="1">
        <v>0.25</v>
      </c>
      <c r="H98" s="1">
        <f t="shared" si="12"/>
        <v>0.082895</v>
      </c>
      <c r="I98" s="1">
        <f t="shared" si="13"/>
        <v>0.3325</v>
      </c>
    </row>
    <row r="99" spans="1:9">
      <c r="A99" s="1" t="s">
        <v>106</v>
      </c>
      <c r="B99" s="1">
        <v>26</v>
      </c>
      <c r="C99" s="3">
        <v>45799</v>
      </c>
      <c r="D99" s="1">
        <f t="shared" si="14"/>
        <v>27.41</v>
      </c>
      <c r="E99" s="1">
        <v>0.02741</v>
      </c>
      <c r="F99">
        <f t="shared" si="10"/>
        <v>0.20609022556391</v>
      </c>
      <c r="G99" s="1">
        <v>0.26</v>
      </c>
      <c r="H99" s="1">
        <f t="shared" si="12"/>
        <v>0.071266</v>
      </c>
      <c r="I99" s="1">
        <f t="shared" si="13"/>
        <v>0.3458</v>
      </c>
    </row>
    <row r="100" spans="1:9">
      <c r="A100" s="1" t="s">
        <v>107</v>
      </c>
      <c r="B100" s="1">
        <v>27</v>
      </c>
      <c r="C100" s="3">
        <v>45799</v>
      </c>
      <c r="D100" s="1">
        <f t="shared" si="14"/>
        <v>32.034</v>
      </c>
      <c r="E100" s="1">
        <v>0.032034</v>
      </c>
      <c r="F100">
        <f t="shared" si="10"/>
        <v>0.240857142857143</v>
      </c>
      <c r="G100" s="1">
        <v>0.2</v>
      </c>
      <c r="H100" s="1">
        <f t="shared" si="12"/>
        <v>0.064068</v>
      </c>
      <c r="I100" s="1">
        <f t="shared" si="13"/>
        <v>0.266</v>
      </c>
    </row>
    <row r="101" spans="1:9">
      <c r="A101" s="1" t="s">
        <v>108</v>
      </c>
      <c r="B101" s="1">
        <v>28</v>
      </c>
      <c r="C101" s="3">
        <v>45799</v>
      </c>
      <c r="D101" s="1">
        <f t="shared" si="14"/>
        <v>29.779</v>
      </c>
      <c r="E101" s="1">
        <v>0.029779</v>
      </c>
      <c r="F101">
        <f t="shared" si="10"/>
        <v>0.223902255639098</v>
      </c>
      <c r="G101" s="1">
        <v>0.27</v>
      </c>
      <c r="H101" s="1">
        <f t="shared" si="12"/>
        <v>0.0804033</v>
      </c>
      <c r="I101" s="1">
        <f t="shared" si="13"/>
        <v>0.3591</v>
      </c>
    </row>
    <row r="102" spans="1:9">
      <c r="A102" s="1" t="s">
        <v>109</v>
      </c>
      <c r="B102" s="1">
        <v>29</v>
      </c>
      <c r="C102" s="3">
        <v>45799</v>
      </c>
      <c r="D102" s="1">
        <f t="shared" si="14"/>
        <v>31.84</v>
      </c>
      <c r="E102" s="1">
        <v>0.03184</v>
      </c>
      <c r="F102">
        <f t="shared" si="10"/>
        <v>0.239398496240601</v>
      </c>
      <c r="G102" s="1">
        <v>0.21</v>
      </c>
      <c r="H102" s="1">
        <f t="shared" si="12"/>
        <v>0.066864</v>
      </c>
      <c r="I102" s="1">
        <f t="shared" si="13"/>
        <v>0.279300000000001</v>
      </c>
    </row>
    <row r="103" spans="1:9">
      <c r="A103" s="1" t="s">
        <v>110</v>
      </c>
      <c r="B103" s="1">
        <v>30</v>
      </c>
      <c r="C103" s="3">
        <v>45799</v>
      </c>
      <c r="D103" s="1">
        <f t="shared" si="14"/>
        <v>30.707</v>
      </c>
      <c r="E103" s="1">
        <v>0.030707</v>
      </c>
      <c r="F103">
        <f t="shared" si="10"/>
        <v>0.23087969924812</v>
      </c>
      <c r="G103" s="1">
        <v>0.25</v>
      </c>
      <c r="H103" s="1">
        <f t="shared" si="12"/>
        <v>0.0767675</v>
      </c>
      <c r="I103" s="1">
        <f t="shared" si="13"/>
        <v>0.3325</v>
      </c>
    </row>
    <row r="104" spans="1:9">
      <c r="A104" s="1" t="s">
        <v>111</v>
      </c>
      <c r="B104" s="1">
        <v>31</v>
      </c>
      <c r="C104" s="3">
        <v>45799</v>
      </c>
      <c r="D104" s="1">
        <f t="shared" si="14"/>
        <v>33.753</v>
      </c>
      <c r="E104" s="1">
        <v>0.033753</v>
      </c>
      <c r="F104">
        <f t="shared" si="10"/>
        <v>0.253781954887218</v>
      </c>
      <c r="G104" s="1">
        <v>0.38</v>
      </c>
      <c r="H104" s="1">
        <f t="shared" si="12"/>
        <v>0.1282614</v>
      </c>
      <c r="I104" s="1">
        <f t="shared" si="13"/>
        <v>0.5054</v>
      </c>
    </row>
    <row r="105" spans="1:9">
      <c r="A105" s="1" t="s">
        <v>112</v>
      </c>
      <c r="B105" s="1">
        <v>32</v>
      </c>
      <c r="C105" s="3">
        <v>45799</v>
      </c>
      <c r="D105" s="1">
        <f t="shared" si="14"/>
        <v>30.71</v>
      </c>
      <c r="E105" s="1">
        <v>0.03071</v>
      </c>
      <c r="F105">
        <f t="shared" si="10"/>
        <v>0.230902255639098</v>
      </c>
      <c r="G105" s="1">
        <v>0.27</v>
      </c>
      <c r="H105" s="1">
        <f t="shared" ref="H105:H125" si="15">G105%*D105</f>
        <v>0.082917</v>
      </c>
      <c r="I105" s="1">
        <f t="shared" ref="I105:I125" si="16">H105/F105</f>
        <v>0.3591</v>
      </c>
    </row>
    <row r="106" spans="1:9">
      <c r="A106" s="1" t="s">
        <v>113</v>
      </c>
      <c r="B106" s="1">
        <v>33</v>
      </c>
      <c r="C106" s="3">
        <v>45799</v>
      </c>
      <c r="D106" s="1">
        <f t="shared" si="14"/>
        <v>30.658</v>
      </c>
      <c r="E106" s="1">
        <v>0.030658</v>
      </c>
      <c r="F106">
        <f t="shared" si="10"/>
        <v>0.230511278195489</v>
      </c>
      <c r="G106" s="1">
        <v>0.23</v>
      </c>
      <c r="H106" s="1">
        <f t="shared" si="15"/>
        <v>0.0705134</v>
      </c>
      <c r="I106" s="1">
        <f t="shared" si="16"/>
        <v>0.3059</v>
      </c>
    </row>
    <row r="107" spans="1:9">
      <c r="A107" s="1" t="s">
        <v>114</v>
      </c>
      <c r="B107" s="1">
        <v>34</v>
      </c>
      <c r="C107" s="3">
        <v>45799</v>
      </c>
      <c r="D107" s="1">
        <f t="shared" si="14"/>
        <v>29.753</v>
      </c>
      <c r="E107" s="1">
        <v>0.029753</v>
      </c>
      <c r="F107">
        <f t="shared" si="10"/>
        <v>0.223706766917293</v>
      </c>
      <c r="G107" s="1">
        <v>0.32</v>
      </c>
      <c r="H107" s="1">
        <f t="shared" si="15"/>
        <v>0.0952096</v>
      </c>
      <c r="I107" s="1">
        <f t="shared" si="16"/>
        <v>0.4256</v>
      </c>
    </row>
    <row r="108" spans="1:9">
      <c r="A108" s="1" t="s">
        <v>115</v>
      </c>
      <c r="B108" s="1">
        <v>35</v>
      </c>
      <c r="C108" s="3">
        <v>45799</v>
      </c>
      <c r="D108" s="1">
        <f t="shared" si="14"/>
        <v>32.223</v>
      </c>
      <c r="E108" s="1">
        <v>0.032223</v>
      </c>
      <c r="F108">
        <f t="shared" si="10"/>
        <v>0.242278195488722</v>
      </c>
      <c r="G108" s="1">
        <v>0.26</v>
      </c>
      <c r="H108" s="1">
        <f t="shared" si="15"/>
        <v>0.0837798</v>
      </c>
      <c r="I108" s="1">
        <f t="shared" si="16"/>
        <v>0.3458</v>
      </c>
    </row>
    <row r="109" spans="1:9">
      <c r="A109" s="1" t="s">
        <v>116</v>
      </c>
      <c r="B109" s="1">
        <v>36</v>
      </c>
      <c r="C109" s="3">
        <v>45799</v>
      </c>
      <c r="D109" s="1">
        <f t="shared" si="14"/>
        <v>31.141</v>
      </c>
      <c r="E109" s="1">
        <v>0.031141</v>
      </c>
      <c r="F109">
        <f t="shared" si="10"/>
        <v>0.234142857142857</v>
      </c>
      <c r="G109" s="1">
        <v>0.21</v>
      </c>
      <c r="H109" s="1">
        <f t="shared" si="15"/>
        <v>0.0653961</v>
      </c>
      <c r="I109" s="1">
        <f t="shared" si="16"/>
        <v>0.2793</v>
      </c>
    </row>
    <row r="110" spans="1:9">
      <c r="A110" s="1" t="s">
        <v>117</v>
      </c>
      <c r="B110" s="1">
        <v>1</v>
      </c>
      <c r="C110" s="3">
        <v>45796</v>
      </c>
      <c r="D110" s="1">
        <f t="shared" si="14"/>
        <v>18.257</v>
      </c>
      <c r="E110" s="1">
        <v>0.018257</v>
      </c>
      <c r="F110">
        <f t="shared" ref="F104:F125" si="17">D110/35</f>
        <v>0.521628571428571</v>
      </c>
      <c r="G110" s="1">
        <v>0.32</v>
      </c>
      <c r="H110" s="1">
        <f t="shared" si="15"/>
        <v>0.0584224</v>
      </c>
      <c r="I110" s="1">
        <f t="shared" si="16"/>
        <v>0.112</v>
      </c>
    </row>
    <row r="111" spans="1:9">
      <c r="A111" s="1" t="s">
        <v>118</v>
      </c>
      <c r="B111" s="1">
        <v>2</v>
      </c>
      <c r="C111" s="3">
        <v>45796</v>
      </c>
      <c r="D111" s="1">
        <f t="shared" si="14"/>
        <v>17.09</v>
      </c>
      <c r="E111" s="1">
        <v>0.01709</v>
      </c>
      <c r="F111">
        <f t="shared" si="17"/>
        <v>0.488285714285714</v>
      </c>
      <c r="G111" s="1">
        <v>0.24</v>
      </c>
      <c r="H111" s="1">
        <f t="shared" si="15"/>
        <v>0.041016</v>
      </c>
      <c r="I111" s="1">
        <f t="shared" si="16"/>
        <v>0.084</v>
      </c>
    </row>
    <row r="112" spans="1:9">
      <c r="A112" s="1" t="s">
        <v>119</v>
      </c>
      <c r="B112" s="1">
        <v>3</v>
      </c>
      <c r="C112" s="3">
        <v>45796</v>
      </c>
      <c r="D112" s="1">
        <f t="shared" si="14"/>
        <v>16.517</v>
      </c>
      <c r="E112" s="1">
        <v>0.016517</v>
      </c>
      <c r="F112">
        <f t="shared" si="17"/>
        <v>0.471914285714286</v>
      </c>
      <c r="G112" s="1">
        <v>0.23</v>
      </c>
      <c r="H112" s="1">
        <f t="shared" si="15"/>
        <v>0.0379891</v>
      </c>
      <c r="I112" s="1">
        <f t="shared" si="16"/>
        <v>0.0804999999999999</v>
      </c>
    </row>
    <row r="113" spans="1:9">
      <c r="A113" s="1" t="s">
        <v>120</v>
      </c>
      <c r="B113" s="1">
        <v>4</v>
      </c>
      <c r="C113" s="3">
        <v>45796</v>
      </c>
      <c r="D113" s="1">
        <f t="shared" si="14"/>
        <v>18.769</v>
      </c>
      <c r="E113" s="1">
        <v>0.018769</v>
      </c>
      <c r="F113">
        <f t="shared" si="17"/>
        <v>0.536257142857143</v>
      </c>
      <c r="G113" s="1">
        <v>0.18</v>
      </c>
      <c r="H113" s="1">
        <f t="shared" si="15"/>
        <v>0.0337842</v>
      </c>
      <c r="I113" s="1">
        <f t="shared" si="16"/>
        <v>0.063</v>
      </c>
    </row>
    <row r="114" spans="1:9">
      <c r="A114" s="1" t="s">
        <v>121</v>
      </c>
      <c r="B114" s="1">
        <v>5</v>
      </c>
      <c r="C114" s="3">
        <v>45796</v>
      </c>
      <c r="D114" s="1">
        <f t="shared" si="14"/>
        <v>18.085</v>
      </c>
      <c r="E114" s="1">
        <v>0.018085</v>
      </c>
      <c r="F114">
        <f t="shared" si="17"/>
        <v>0.516714285714286</v>
      </c>
      <c r="G114" s="1">
        <v>0.22</v>
      </c>
      <c r="H114" s="1">
        <f t="shared" si="15"/>
        <v>0.039787</v>
      </c>
      <c r="I114" s="1">
        <f t="shared" si="16"/>
        <v>0.077</v>
      </c>
    </row>
    <row r="115" spans="1:9">
      <c r="A115" s="1" t="s">
        <v>122</v>
      </c>
      <c r="B115" s="1">
        <v>6</v>
      </c>
      <c r="C115" s="3">
        <v>45796</v>
      </c>
      <c r="D115" s="1">
        <f t="shared" si="14"/>
        <v>17.975</v>
      </c>
      <c r="E115" s="1">
        <v>0.017975</v>
      </c>
      <c r="F115">
        <f t="shared" si="17"/>
        <v>0.513571428571429</v>
      </c>
      <c r="G115" s="1">
        <v>0.22</v>
      </c>
      <c r="H115" s="1">
        <f t="shared" si="15"/>
        <v>0.039545</v>
      </c>
      <c r="I115" s="1">
        <f t="shared" si="16"/>
        <v>0.0769999999999999</v>
      </c>
    </row>
    <row r="116" spans="1:9">
      <c r="A116" s="1" t="s">
        <v>123</v>
      </c>
      <c r="B116" s="1">
        <v>7</v>
      </c>
      <c r="C116" s="3">
        <v>45796</v>
      </c>
      <c r="D116" s="1">
        <f t="shared" si="14"/>
        <v>16.459</v>
      </c>
      <c r="E116" s="1">
        <v>0.016459</v>
      </c>
      <c r="F116">
        <f t="shared" si="17"/>
        <v>0.470257142857143</v>
      </c>
      <c r="G116" s="1">
        <v>0.24</v>
      </c>
      <c r="H116" s="1">
        <f t="shared" si="15"/>
        <v>0.0395016</v>
      </c>
      <c r="I116" s="1">
        <f t="shared" si="16"/>
        <v>0.084</v>
      </c>
    </row>
    <row r="117" spans="1:9">
      <c r="A117" s="1" t="s">
        <v>124</v>
      </c>
      <c r="B117" s="1">
        <v>8</v>
      </c>
      <c r="C117" s="3">
        <v>45796</v>
      </c>
      <c r="D117" s="1">
        <f t="shared" si="14"/>
        <v>18.261</v>
      </c>
      <c r="E117" s="1">
        <v>0.018261</v>
      </c>
      <c r="F117">
        <f t="shared" si="17"/>
        <v>0.521742857142857</v>
      </c>
      <c r="G117" s="1">
        <v>0.47</v>
      </c>
      <c r="H117" s="1">
        <f t="shared" si="15"/>
        <v>0.0858267</v>
      </c>
      <c r="I117" s="1">
        <f t="shared" si="16"/>
        <v>0.1645</v>
      </c>
    </row>
    <row r="118" spans="1:9">
      <c r="A118" s="1" t="s">
        <v>125</v>
      </c>
      <c r="B118" s="1">
        <v>9</v>
      </c>
      <c r="C118" s="3">
        <v>45796</v>
      </c>
      <c r="D118" s="1">
        <f t="shared" si="14"/>
        <v>17.402</v>
      </c>
      <c r="E118" s="1">
        <v>0.017402</v>
      </c>
      <c r="F118">
        <f t="shared" si="17"/>
        <v>0.4972</v>
      </c>
      <c r="G118" s="1">
        <v>1.09</v>
      </c>
      <c r="H118" s="1">
        <f t="shared" si="15"/>
        <v>0.1896818</v>
      </c>
      <c r="I118" s="1">
        <f t="shared" si="16"/>
        <v>0.3815</v>
      </c>
    </row>
    <row r="119" spans="1:9">
      <c r="A119" s="1" t="s">
        <v>126</v>
      </c>
      <c r="B119" s="1">
        <v>10</v>
      </c>
      <c r="C119" s="3">
        <v>45796</v>
      </c>
      <c r="D119" s="1">
        <f t="shared" si="14"/>
        <v>18.43</v>
      </c>
      <c r="E119" s="1">
        <v>0.01843</v>
      </c>
      <c r="F119">
        <f t="shared" si="17"/>
        <v>0.526571428571429</v>
      </c>
      <c r="G119" s="1">
        <v>0.21</v>
      </c>
      <c r="H119" s="1">
        <f t="shared" si="15"/>
        <v>0.038703</v>
      </c>
      <c r="I119" s="1">
        <f t="shared" si="16"/>
        <v>0.0734999999999999</v>
      </c>
    </row>
    <row r="120" spans="1:9">
      <c r="A120" s="1" t="s">
        <v>127</v>
      </c>
      <c r="B120" s="1">
        <v>11</v>
      </c>
      <c r="C120" s="3">
        <v>45796</v>
      </c>
      <c r="D120" s="1">
        <f t="shared" si="14"/>
        <v>18.169</v>
      </c>
      <c r="E120" s="1">
        <v>0.018169</v>
      </c>
      <c r="F120">
        <f t="shared" si="17"/>
        <v>0.519114285714286</v>
      </c>
      <c r="G120" s="1">
        <v>0.3</v>
      </c>
      <c r="H120" s="1">
        <f t="shared" si="15"/>
        <v>0.054507</v>
      </c>
      <c r="I120" s="1">
        <f t="shared" si="16"/>
        <v>0.105</v>
      </c>
    </row>
    <row r="121" spans="1:9">
      <c r="A121" s="1" t="s">
        <v>128</v>
      </c>
      <c r="B121" s="1">
        <v>12</v>
      </c>
      <c r="C121" s="3">
        <v>45796</v>
      </c>
      <c r="D121" s="1">
        <f t="shared" si="14"/>
        <v>16.654</v>
      </c>
      <c r="E121" s="1">
        <v>0.016654</v>
      </c>
      <c r="F121">
        <f t="shared" si="17"/>
        <v>0.475828571428571</v>
      </c>
      <c r="G121" s="1">
        <v>0.25</v>
      </c>
      <c r="H121" s="1">
        <f t="shared" si="15"/>
        <v>0.041635</v>
      </c>
      <c r="I121" s="1">
        <f t="shared" si="16"/>
        <v>0.0875000000000001</v>
      </c>
    </row>
    <row r="122" spans="1:9">
      <c r="A122" s="1" t="s">
        <v>129</v>
      </c>
      <c r="B122" s="1">
        <v>13</v>
      </c>
      <c r="C122" s="3">
        <v>45796</v>
      </c>
      <c r="D122" s="1">
        <f t="shared" si="14"/>
        <v>18.355</v>
      </c>
      <c r="E122" s="1">
        <v>0.018355</v>
      </c>
      <c r="F122">
        <f t="shared" si="17"/>
        <v>0.524428571428571</v>
      </c>
      <c r="G122" s="1">
        <v>0.22</v>
      </c>
      <c r="H122" s="1">
        <f t="shared" si="15"/>
        <v>0.040381</v>
      </c>
      <c r="I122" s="1">
        <f t="shared" si="16"/>
        <v>0.0770000000000001</v>
      </c>
    </row>
    <row r="123" spans="1:9">
      <c r="A123" s="1" t="s">
        <v>130</v>
      </c>
      <c r="B123" s="1">
        <v>14</v>
      </c>
      <c r="C123" s="3">
        <v>45796</v>
      </c>
      <c r="D123" s="1">
        <f t="shared" ref="D123:D145" si="18">E123*1000</f>
        <v>16.588</v>
      </c>
      <c r="E123" s="1">
        <v>0.016588</v>
      </c>
      <c r="F123">
        <f t="shared" si="17"/>
        <v>0.473942857142857</v>
      </c>
      <c r="G123" s="1">
        <v>0.34</v>
      </c>
      <c r="H123" s="1">
        <f t="shared" si="15"/>
        <v>0.0563992</v>
      </c>
      <c r="I123" s="1">
        <f t="shared" si="16"/>
        <v>0.119</v>
      </c>
    </row>
    <row r="124" spans="1:9">
      <c r="A124" s="1" t="s">
        <v>131</v>
      </c>
      <c r="B124" s="1">
        <v>15</v>
      </c>
      <c r="C124" s="3">
        <v>45796</v>
      </c>
      <c r="D124" s="1">
        <f t="shared" si="18"/>
        <v>17.907</v>
      </c>
      <c r="E124" s="1">
        <v>0.017907</v>
      </c>
      <c r="F124">
        <f t="shared" si="17"/>
        <v>0.511628571428571</v>
      </c>
      <c r="G124" s="1">
        <v>0.3</v>
      </c>
      <c r="H124" s="1">
        <f t="shared" si="15"/>
        <v>0.053721</v>
      </c>
      <c r="I124" s="1">
        <f t="shared" si="16"/>
        <v>0.105</v>
      </c>
    </row>
    <row r="125" spans="1:9">
      <c r="A125" s="1" t="s">
        <v>132</v>
      </c>
      <c r="B125" s="1">
        <v>16</v>
      </c>
      <c r="C125" s="3">
        <v>45796</v>
      </c>
      <c r="D125" s="1">
        <f t="shared" si="18"/>
        <v>19.076</v>
      </c>
      <c r="E125" s="1">
        <v>0.019076</v>
      </c>
      <c r="F125">
        <f t="shared" si="17"/>
        <v>0.545028571428571</v>
      </c>
      <c r="G125" s="1">
        <v>0.22</v>
      </c>
      <c r="H125" s="1">
        <f t="shared" si="15"/>
        <v>0.0419672</v>
      </c>
      <c r="I125" s="1">
        <f t="shared" si="16"/>
        <v>0.077</v>
      </c>
    </row>
    <row r="126" spans="1:9">
      <c r="A126" t="s">
        <v>133</v>
      </c>
      <c r="B126">
        <v>17</v>
      </c>
      <c r="C126" s="5">
        <v>45796</v>
      </c>
      <c r="D126">
        <f t="shared" si="18"/>
        <v>17.632</v>
      </c>
      <c r="E126">
        <v>0.017632</v>
      </c>
      <c r="F126">
        <f t="shared" ref="F126:F145" si="19">D126/35</f>
        <v>0.503771428571429</v>
      </c>
      <c r="G126">
        <v>0.31</v>
      </c>
      <c r="H126" s="1">
        <f t="shared" ref="H126:H145" si="20">G126%*D126</f>
        <v>0.0546592</v>
      </c>
      <c r="I126" s="1">
        <f t="shared" ref="I126:I142" si="21">H126/F126</f>
        <v>0.1085</v>
      </c>
    </row>
    <row r="127" spans="1:9">
      <c r="A127" t="s">
        <v>134</v>
      </c>
      <c r="B127">
        <v>18</v>
      </c>
      <c r="C127" s="5">
        <v>45796</v>
      </c>
      <c r="D127">
        <f t="shared" si="18"/>
        <v>17.004</v>
      </c>
      <c r="E127">
        <v>0.017004</v>
      </c>
      <c r="F127">
        <f t="shared" si="19"/>
        <v>0.485828571428571</v>
      </c>
      <c r="G127">
        <v>0.22</v>
      </c>
      <c r="H127" s="1">
        <f t="shared" si="20"/>
        <v>0.0374088</v>
      </c>
      <c r="I127" s="1">
        <f t="shared" si="21"/>
        <v>0.077</v>
      </c>
    </row>
    <row r="128" spans="1:9">
      <c r="A128" t="s">
        <v>135</v>
      </c>
      <c r="B128">
        <v>19</v>
      </c>
      <c r="C128" s="5">
        <v>45796</v>
      </c>
      <c r="D128">
        <f t="shared" si="18"/>
        <v>19.124</v>
      </c>
      <c r="E128">
        <v>0.019124</v>
      </c>
      <c r="F128">
        <f t="shared" si="19"/>
        <v>0.5464</v>
      </c>
      <c r="G128">
        <v>0.26</v>
      </c>
      <c r="H128" s="1">
        <f t="shared" si="20"/>
        <v>0.0497224</v>
      </c>
      <c r="I128" s="1">
        <f t="shared" si="21"/>
        <v>0.091</v>
      </c>
    </row>
    <row r="129" spans="1:9">
      <c r="A129" t="s">
        <v>136</v>
      </c>
      <c r="B129">
        <v>20</v>
      </c>
      <c r="C129" s="5">
        <v>45796</v>
      </c>
      <c r="D129">
        <f t="shared" si="18"/>
        <v>19.037</v>
      </c>
      <c r="E129">
        <v>0.019037</v>
      </c>
      <c r="F129">
        <f t="shared" si="19"/>
        <v>0.543914285714286</v>
      </c>
      <c r="G129">
        <v>0.34</v>
      </c>
      <c r="H129" s="1">
        <f t="shared" si="20"/>
        <v>0.0647258</v>
      </c>
      <c r="I129" s="1">
        <f t="shared" si="21"/>
        <v>0.119</v>
      </c>
    </row>
    <row r="130" spans="1:9">
      <c r="A130" t="s">
        <v>137</v>
      </c>
      <c r="B130">
        <v>21</v>
      </c>
      <c r="C130" s="5">
        <v>45796</v>
      </c>
      <c r="D130">
        <f t="shared" si="18"/>
        <v>19.295</v>
      </c>
      <c r="E130">
        <v>0.019295</v>
      </c>
      <c r="F130">
        <f t="shared" si="19"/>
        <v>0.551285714285714</v>
      </c>
      <c r="G130">
        <v>0.34</v>
      </c>
      <c r="H130" s="1">
        <f t="shared" si="20"/>
        <v>0.065603</v>
      </c>
      <c r="I130" s="1">
        <f t="shared" si="21"/>
        <v>0.119</v>
      </c>
    </row>
    <row r="131" spans="1:9">
      <c r="A131" t="s">
        <v>138</v>
      </c>
      <c r="B131">
        <v>22</v>
      </c>
      <c r="C131" s="5">
        <v>45796</v>
      </c>
      <c r="D131">
        <f t="shared" si="18"/>
        <v>18.906</v>
      </c>
      <c r="E131">
        <v>0.018906</v>
      </c>
      <c r="F131">
        <f t="shared" si="19"/>
        <v>0.540171428571429</v>
      </c>
      <c r="G131">
        <v>0.27</v>
      </c>
      <c r="H131" s="1">
        <f t="shared" si="20"/>
        <v>0.0510462</v>
      </c>
      <c r="I131" s="1">
        <f t="shared" si="21"/>
        <v>0.0945</v>
      </c>
    </row>
    <row r="132" spans="1:9">
      <c r="A132" t="s">
        <v>139</v>
      </c>
      <c r="B132">
        <v>23</v>
      </c>
      <c r="C132" s="5">
        <v>45796</v>
      </c>
      <c r="D132">
        <f t="shared" si="18"/>
        <v>17.088</v>
      </c>
      <c r="E132">
        <v>0.017088</v>
      </c>
      <c r="F132">
        <f t="shared" si="19"/>
        <v>0.488228571428571</v>
      </c>
      <c r="G132">
        <v>0.32</v>
      </c>
      <c r="H132" s="1">
        <f t="shared" si="20"/>
        <v>0.0546816</v>
      </c>
      <c r="I132" s="1">
        <f t="shared" si="21"/>
        <v>0.112</v>
      </c>
    </row>
    <row r="133" spans="1:9">
      <c r="A133" t="s">
        <v>140</v>
      </c>
      <c r="B133">
        <v>24</v>
      </c>
      <c r="C133" s="5">
        <v>45796</v>
      </c>
      <c r="D133">
        <f t="shared" si="18"/>
        <v>18.81</v>
      </c>
      <c r="E133">
        <v>0.01881</v>
      </c>
      <c r="F133">
        <f t="shared" si="19"/>
        <v>0.537428571428571</v>
      </c>
      <c r="G133">
        <v>0.36</v>
      </c>
      <c r="H133" s="1">
        <f t="shared" si="20"/>
        <v>0.067716</v>
      </c>
      <c r="I133" s="1">
        <f t="shared" si="21"/>
        <v>0.126</v>
      </c>
    </row>
    <row r="134" spans="1:9">
      <c r="A134" t="s">
        <v>141</v>
      </c>
      <c r="B134">
        <v>25</v>
      </c>
      <c r="C134" s="5">
        <v>45796</v>
      </c>
      <c r="D134">
        <f t="shared" si="18"/>
        <v>19.043</v>
      </c>
      <c r="E134">
        <v>0.019043</v>
      </c>
      <c r="F134">
        <f t="shared" si="19"/>
        <v>0.544085714285714</v>
      </c>
      <c r="G134">
        <v>0.23</v>
      </c>
      <c r="H134" s="1">
        <f t="shared" si="20"/>
        <v>0.0437989</v>
      </c>
      <c r="I134" s="1">
        <f t="shared" si="21"/>
        <v>0.0805</v>
      </c>
    </row>
    <row r="135" spans="1:9">
      <c r="A135" t="s">
        <v>142</v>
      </c>
      <c r="B135">
        <v>26</v>
      </c>
      <c r="C135" s="5">
        <v>45796</v>
      </c>
      <c r="D135">
        <f t="shared" si="18"/>
        <v>16.933</v>
      </c>
      <c r="E135">
        <v>0.016933</v>
      </c>
      <c r="F135">
        <f t="shared" si="19"/>
        <v>0.4838</v>
      </c>
      <c r="G135">
        <v>0.32</v>
      </c>
      <c r="H135" s="1">
        <f t="shared" si="20"/>
        <v>0.0541856</v>
      </c>
      <c r="I135" s="1">
        <f t="shared" si="21"/>
        <v>0.112</v>
      </c>
    </row>
    <row r="136" spans="1:9">
      <c r="A136" t="s">
        <v>143</v>
      </c>
      <c r="B136">
        <v>27</v>
      </c>
      <c r="C136" s="5">
        <v>45796</v>
      </c>
      <c r="D136">
        <f t="shared" si="18"/>
        <v>17.497</v>
      </c>
      <c r="E136">
        <v>0.017497</v>
      </c>
      <c r="F136">
        <f t="shared" si="19"/>
        <v>0.499914285714286</v>
      </c>
      <c r="G136">
        <v>0.22</v>
      </c>
      <c r="H136" s="1">
        <f t="shared" si="20"/>
        <v>0.0384934</v>
      </c>
      <c r="I136" s="1">
        <f t="shared" si="21"/>
        <v>0.077</v>
      </c>
    </row>
    <row r="137" spans="1:9">
      <c r="A137" t="s">
        <v>144</v>
      </c>
      <c r="B137">
        <v>28</v>
      </c>
      <c r="C137" s="5">
        <v>45796</v>
      </c>
      <c r="D137">
        <f t="shared" si="18"/>
        <v>16.875</v>
      </c>
      <c r="E137">
        <v>0.016875</v>
      </c>
      <c r="F137">
        <f t="shared" si="19"/>
        <v>0.482142857142857</v>
      </c>
      <c r="G137">
        <v>0.35</v>
      </c>
      <c r="H137" s="1">
        <f t="shared" si="20"/>
        <v>0.0590625</v>
      </c>
      <c r="I137" s="1">
        <f t="shared" si="21"/>
        <v>0.1225</v>
      </c>
    </row>
    <row r="138" spans="1:9">
      <c r="A138" t="s">
        <v>145</v>
      </c>
      <c r="B138">
        <v>29</v>
      </c>
      <c r="C138" s="5">
        <v>45796</v>
      </c>
      <c r="D138">
        <f t="shared" si="18"/>
        <v>18.493</v>
      </c>
      <c r="E138">
        <v>0.018493</v>
      </c>
      <c r="F138">
        <f t="shared" si="19"/>
        <v>0.528371428571428</v>
      </c>
      <c r="G138">
        <v>0.25</v>
      </c>
      <c r="H138" s="1">
        <f t="shared" si="20"/>
        <v>0.0462325</v>
      </c>
      <c r="I138" s="1">
        <f t="shared" si="21"/>
        <v>0.0875</v>
      </c>
    </row>
    <row r="139" spans="1:9">
      <c r="A139" t="s">
        <v>146</v>
      </c>
      <c r="B139">
        <v>30</v>
      </c>
      <c r="C139" s="5">
        <v>45796</v>
      </c>
      <c r="D139">
        <f t="shared" si="18"/>
        <v>17.205</v>
      </c>
      <c r="E139">
        <v>0.017205</v>
      </c>
      <c r="F139">
        <f t="shared" si="19"/>
        <v>0.491571428571429</v>
      </c>
      <c r="G139">
        <v>0.46</v>
      </c>
      <c r="H139" s="1">
        <f t="shared" si="20"/>
        <v>0.079143</v>
      </c>
      <c r="I139" s="1">
        <f t="shared" si="21"/>
        <v>0.161</v>
      </c>
    </row>
    <row r="140" spans="1:9">
      <c r="A140" t="s">
        <v>147</v>
      </c>
      <c r="B140">
        <v>31</v>
      </c>
      <c r="C140" s="5">
        <v>45796</v>
      </c>
      <c r="D140">
        <f t="shared" si="18"/>
        <v>18.587</v>
      </c>
      <c r="E140">
        <v>0.018587</v>
      </c>
      <c r="F140">
        <f t="shared" si="19"/>
        <v>0.531057142857143</v>
      </c>
      <c r="G140">
        <v>0.48</v>
      </c>
      <c r="H140" s="1">
        <f t="shared" si="20"/>
        <v>0.0892176</v>
      </c>
      <c r="I140" s="1">
        <f t="shared" si="21"/>
        <v>0.168</v>
      </c>
    </row>
    <row r="141" spans="1:9">
      <c r="A141" t="s">
        <v>148</v>
      </c>
      <c r="B141">
        <v>32</v>
      </c>
      <c r="C141" s="5">
        <v>45796</v>
      </c>
      <c r="D141">
        <f t="shared" si="18"/>
        <v>18.04</v>
      </c>
      <c r="E141">
        <v>0.01804</v>
      </c>
      <c r="F141">
        <f t="shared" si="19"/>
        <v>0.515428571428571</v>
      </c>
      <c r="G141">
        <v>0.52</v>
      </c>
      <c r="H141" s="1">
        <f t="shared" si="20"/>
        <v>0.093808</v>
      </c>
      <c r="I141" s="1">
        <f t="shared" si="21"/>
        <v>0.182</v>
      </c>
    </row>
    <row r="142" spans="1:9">
      <c r="A142" t="s">
        <v>149</v>
      </c>
      <c r="B142">
        <v>33</v>
      </c>
      <c r="C142" s="5">
        <v>45796</v>
      </c>
      <c r="D142">
        <f t="shared" si="18"/>
        <v>17.876</v>
      </c>
      <c r="E142">
        <v>0.017876</v>
      </c>
      <c r="F142">
        <f t="shared" si="19"/>
        <v>0.510742857142857</v>
      </c>
      <c r="G142">
        <v>0.32</v>
      </c>
      <c r="H142" s="1">
        <f t="shared" si="20"/>
        <v>0.0572032</v>
      </c>
      <c r="I142" s="1">
        <f t="shared" si="21"/>
        <v>0.112</v>
      </c>
    </row>
    <row r="143" spans="1:9">
      <c r="A143" t="s">
        <v>150</v>
      </c>
      <c r="B143">
        <v>34</v>
      </c>
      <c r="C143" s="5">
        <v>45796</v>
      </c>
      <c r="D143">
        <f t="shared" si="18"/>
        <v>17.775</v>
      </c>
      <c r="E143">
        <v>0.017775</v>
      </c>
      <c r="F143">
        <f t="shared" si="19"/>
        <v>0.507857142857143</v>
      </c>
      <c r="G143">
        <v>0.36</v>
      </c>
      <c r="H143" s="1">
        <f t="shared" si="20"/>
        <v>0.06399</v>
      </c>
      <c r="I143" s="1">
        <f>H143/F143</f>
        <v>0.126</v>
      </c>
    </row>
    <row r="144" spans="1:9">
      <c r="A144" t="s">
        <v>151</v>
      </c>
      <c r="B144">
        <v>35</v>
      </c>
      <c r="C144" s="5">
        <v>45796</v>
      </c>
      <c r="D144">
        <f t="shared" si="18"/>
        <v>17.445</v>
      </c>
      <c r="E144">
        <v>0.017445</v>
      </c>
      <c r="F144">
        <f t="shared" si="19"/>
        <v>0.498428571428571</v>
      </c>
      <c r="G144">
        <v>0.45</v>
      </c>
      <c r="H144" s="1">
        <f t="shared" si="20"/>
        <v>0.0785025</v>
      </c>
      <c r="I144" s="1">
        <f>H144/F144</f>
        <v>0.1575</v>
      </c>
    </row>
    <row r="145" spans="1:9">
      <c r="A145" t="s">
        <v>152</v>
      </c>
      <c r="B145">
        <v>36</v>
      </c>
      <c r="C145" s="5">
        <v>45796</v>
      </c>
      <c r="D145">
        <f t="shared" si="18"/>
        <v>17.951</v>
      </c>
      <c r="E145">
        <v>0.017951</v>
      </c>
      <c r="F145">
        <f t="shared" si="19"/>
        <v>0.512885714285714</v>
      </c>
      <c r="G145">
        <v>0.22</v>
      </c>
      <c r="H145" s="1">
        <f t="shared" si="20"/>
        <v>0.0394922</v>
      </c>
      <c r="I145" s="1">
        <f>H145/F145</f>
        <v>0.077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nixl</dc:creator>
  <cp:lastModifiedBy>WPS_1769725255</cp:lastModifiedBy>
  <dcterms:created xsi:type="dcterms:W3CDTF">2026-07-20T18:54:00Z</dcterms:created>
  <dcterms:modified xsi:type="dcterms:W3CDTF">2026-07-26T21:36:24Z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9E5A734084FE49A4DE525E6AD4EDF9D7_41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1</vt:i4>
  </property>
</Properties>
</file>